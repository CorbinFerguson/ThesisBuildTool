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endresshauser-my.sharepoint.com/personal/corbin_ferguson_endress_com/Documents/Thesis Work/"/>
    </mc:Choice>
  </mc:AlternateContent>
  <xr:revisionPtr revIDLastSave="1637" documentId="11_AD4DB114E441178AC67DF4D41ED1D894683EDF27" xr6:coauthVersionLast="47" xr6:coauthVersionMax="47" xr10:uidLastSave="{1D848577-258C-4138-9A60-41B0653B7391}"/>
  <bookViews>
    <workbookView xWindow="53880" yWindow="-5145" windowWidth="29040" windowHeight="15720" firstSheet="1" activeTab="5" xr2:uid="{00000000-000D-0000-FFFF-FFFF00000000}"/>
  </bookViews>
  <sheets>
    <sheet name="Tests" sheetId="7" r:id="rId1"/>
    <sheet name="Element Import Testing" sheetId="2" r:id="rId2"/>
    <sheet name="Element Creation Testing" sheetId="3" r:id="rId3"/>
    <sheet name="Element Modification Testing" sheetId="4" r:id="rId4"/>
    <sheet name="Element Deletion Testing" sheetId="5" r:id="rId5"/>
    <sheet name="File Manipulation Testing" sheetId="6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7" l="1"/>
  <c r="A9" i="2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G2" i="7"/>
  <c r="G3" i="7"/>
  <c r="G4" i="7"/>
  <c r="G1" i="7"/>
  <c r="A2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B15" i="7"/>
  <c r="B14" i="7"/>
  <c r="B13" i="7"/>
  <c r="B12" i="7"/>
  <c r="B11" i="7"/>
  <c r="B10" i="7"/>
  <c r="B9" i="7"/>
  <c r="B8" i="7"/>
  <c r="B7" i="7"/>
  <c r="B6" i="7"/>
  <c r="B5" i="7" a="1"/>
  <c r="B5" i="7" s="1"/>
  <c r="B4" i="7" a="1"/>
  <c r="B4" i="7" s="1"/>
  <c r="B3" i="7" a="1"/>
  <c r="B3" i="7" s="1"/>
  <c r="B2" i="7" a="1"/>
  <c r="B2" i="7" s="1"/>
  <c r="C2" i="2" s="1"/>
  <c r="AD3" i="6" l="1"/>
  <c r="L3" i="6"/>
  <c r="X3" i="6"/>
  <c r="R3" i="6"/>
  <c r="F3" i="6"/>
  <c r="C3" i="2"/>
  <c r="R3" i="5"/>
  <c r="I3" i="6"/>
  <c r="C3" i="3"/>
  <c r="U3" i="6"/>
  <c r="AA3" i="6"/>
  <c r="I3" i="3"/>
  <c r="O3" i="3"/>
  <c r="O3" i="5"/>
  <c r="O3" i="6"/>
  <c r="C2" i="4"/>
  <c r="I3" i="5"/>
  <c r="I2" i="3"/>
  <c r="F3" i="4"/>
  <c r="C3" i="5"/>
  <c r="L3" i="3"/>
  <c r="L3" i="4"/>
  <c r="C3" i="4"/>
  <c r="R3" i="3"/>
  <c r="R3" i="4"/>
  <c r="I3" i="4"/>
  <c r="F3" i="3"/>
  <c r="F3" i="5"/>
  <c r="O3" i="4"/>
  <c r="F3" i="2"/>
  <c r="L3" i="5"/>
  <c r="C3" i="6"/>
  <c r="AA2" i="6"/>
  <c r="O2" i="6"/>
  <c r="I2" i="4"/>
  <c r="O2" i="4"/>
  <c r="U2" i="6"/>
  <c r="I2" i="6"/>
  <c r="O2" i="5"/>
  <c r="I2" i="5"/>
  <c r="C2" i="6"/>
  <c r="O2" i="3"/>
  <c r="C2" i="5"/>
  <c r="C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<sst xmlns="http://schemas.openxmlformats.org/spreadsheetml/2006/main" count="526" uniqueCount="194">
  <si>
    <t>Step</t>
  </si>
  <si>
    <t>Expected Result</t>
  </si>
  <si>
    <t>Notes</t>
  </si>
  <si>
    <t>Test Case ID:</t>
  </si>
  <si>
    <t>Test Execution Date:</t>
  </si>
  <si>
    <t>Test Status:</t>
  </si>
  <si>
    <t>Description:</t>
  </si>
  <si>
    <t>Preconditions:</t>
  </si>
  <si>
    <t>Test Step</t>
  </si>
  <si>
    <t>Used Data</t>
  </si>
  <si>
    <t>Status</t>
  </si>
  <si>
    <t>New File Creation</t>
  </si>
  <si>
    <t>Description: Test the creation of an empty template file, overwriting the existing file.</t>
  </si>
  <si>
    <t>Import Select Redundant Name</t>
  </si>
  <si>
    <t>Element Quantity Creation</t>
  </si>
  <si>
    <t>Nameless Module Creation</t>
  </si>
  <si>
    <t>No Element to Modify</t>
  </si>
  <si>
    <t>Completed Element Modification</t>
  </si>
  <si>
    <t>Delete No Element Type</t>
  </si>
  <si>
    <t>Delete Element Found</t>
  </si>
  <si>
    <t>Delete Module by Port</t>
  </si>
  <si>
    <t>Save File</t>
  </si>
  <si>
    <t>Load File</t>
  </si>
  <si>
    <t>Validate File</t>
  </si>
  <si>
    <t>"New File" Button Pressed</t>
  </si>
  <si>
    <t>Confirm Successful Creation</t>
  </si>
  <si>
    <t>button press</t>
  </si>
  <si>
    <t>"Yes" button press</t>
  </si>
  <si>
    <t>"ok" button Press</t>
  </si>
  <si>
    <t>Repeat step 1</t>
  </si>
  <si>
    <t>"new" button press</t>
  </si>
  <si>
    <t>Cancel File Creation</t>
  </si>
  <si>
    <t>"No Button Press"</t>
  </si>
  <si>
    <t>"Save File" Button Pressed</t>
  </si>
  <si>
    <t>File Location Save</t>
  </si>
  <si>
    <t>File explorer opens</t>
  </si>
  <si>
    <t>AutoCreated "GeneratedFile##.L5X" name at default location: "C:\Users\i01505732\OneDrive - Endress+Hauser\Thesis Work\CodeProjects\L5XFiles\GeneratedFiles"</t>
  </si>
  <si>
    <t>verify window opened</t>
  </si>
  <si>
    <t>New File created</t>
  </si>
  <si>
    <t>return to action select window</t>
  </si>
  <si>
    <t>"Load File" button Press</t>
  </si>
  <si>
    <t>File Explorer opens</t>
  </si>
  <si>
    <t>File to load selected</t>
  </si>
  <si>
    <t>C:\Users\i01505732\OneDrive - Endress+Hauser\Thesis Work\CodeProjects\L5XFiles\TemplateFiles\BasicControllertags.L5X</t>
  </si>
  <si>
    <t>doc object in Execute.cs updated to new object</t>
  </si>
  <si>
    <t>Verify New File Loaded</t>
  </si>
  <si>
    <r>
      <t xml:space="preserve">Check </t>
    </r>
    <r>
      <rPr>
        <i/>
        <sz val="11"/>
        <color theme="1"/>
        <rFont val="Calibri"/>
        <family val="2"/>
        <scheme val="minor"/>
      </rPr>
      <t>one of the subobjects</t>
    </r>
  </si>
  <si>
    <r>
      <t>subobject</t>
    </r>
    <r>
      <rPr>
        <sz val="11"/>
        <color theme="1"/>
        <rFont val="Calibri"/>
        <family val="2"/>
        <scheme val="minor"/>
      </rPr>
      <t xml:space="preserve"> exists</t>
    </r>
  </si>
  <si>
    <t>Confirm File Creation</t>
  </si>
  <si>
    <t>Verify File Saved</t>
  </si>
  <si>
    <t>Check file exists at expected location</t>
  </si>
  <si>
    <t>"Validate" button pressed</t>
  </si>
  <si>
    <t>Preconditions: Empty template file loaded into application</t>
  </si>
  <si>
    <t>"Ok"</t>
  </si>
  <si>
    <t>Load File with error</t>
  </si>
  <si>
    <t>"Ok" button pressed</t>
  </si>
  <si>
    <t>error window appears with "No Errors Found!"</t>
  </si>
  <si>
    <t>Return to action select window</t>
  </si>
  <si>
    <t>New file created at location, return to action select window</t>
  </si>
  <si>
    <t>File found</t>
  </si>
  <si>
    <t>File successfully loaded</t>
  </si>
  <si>
    <t>Error window appears with errors displayed</t>
  </si>
  <si>
    <t>Launch program</t>
  </si>
  <si>
    <t>"Exit" button pressed</t>
  </si>
  <si>
    <t>application closes</t>
  </si>
  <si>
    <t>application launches</t>
  </si>
  <si>
    <t>Launch exe</t>
  </si>
  <si>
    <t>Description: Test the saving of a file.</t>
  </si>
  <si>
    <t>Preconditions: None</t>
  </si>
  <si>
    <t>Preconditions: File to load.</t>
  </si>
  <si>
    <t>Description: Testing that attempting to delete an element when no element exists causes a popup</t>
  </si>
  <si>
    <t>Preconditions: Empty File exists</t>
  </si>
  <si>
    <t>"Delete" button pressed</t>
  </si>
  <si>
    <t>no element found window appears</t>
  </si>
  <si>
    <t>Type Select</t>
  </si>
  <si>
    <t>Select element to delete</t>
  </si>
  <si>
    <t>type select window appears</t>
  </si>
  <si>
    <r>
      <t xml:space="preserve">dropdown select </t>
    </r>
    <r>
      <rPr>
        <i/>
        <sz val="11"/>
        <color theme="1"/>
        <rFont val="Calibri"/>
        <family val="2"/>
        <scheme val="minor"/>
      </rPr>
      <t>type</t>
    </r>
  </si>
  <si>
    <r>
      <t xml:space="preserve">dropdown select </t>
    </r>
    <r>
      <rPr>
        <i/>
        <sz val="11"/>
        <color theme="1"/>
        <rFont val="Calibri"/>
        <family val="2"/>
        <scheme val="minor"/>
      </rPr>
      <t>element</t>
    </r>
  </si>
  <si>
    <t>element select window appears, displaying all elements of chosen type</t>
  </si>
  <si>
    <t>element select window appears, displaying all modules</t>
  </si>
  <si>
    <t>dropdown select modules</t>
  </si>
  <si>
    <t>multiple elements by that name exist, move to window filtering by port</t>
  </si>
  <si>
    <t>Select port for module</t>
  </si>
  <si>
    <t>dropdown select port</t>
  </si>
  <si>
    <t>module is deleted, return to action select window</t>
  </si>
  <si>
    <t>chosen element is deleted, return to action select window</t>
  </si>
  <si>
    <t>"Modify" button pressed</t>
  </si>
  <si>
    <t>Select attributes to modify</t>
  </si>
  <si>
    <t>select Name to modify</t>
  </si>
  <si>
    <t xml:space="preserve">text window popup </t>
  </si>
  <si>
    <r>
      <t xml:space="preserve">select Name &amp; </t>
    </r>
    <r>
      <rPr>
        <i/>
        <sz val="11"/>
        <color theme="1"/>
        <rFont val="Calibri"/>
        <family val="2"/>
        <scheme val="minor"/>
      </rPr>
      <t>other</t>
    </r>
    <r>
      <rPr>
        <sz val="11"/>
        <color theme="1"/>
        <rFont val="Calibri"/>
        <family val="2"/>
        <scheme val="minor"/>
      </rPr>
      <t xml:space="preserve"> to modify</t>
    </r>
  </si>
  <si>
    <t>redundant name</t>
  </si>
  <si>
    <t>Set Name</t>
  </si>
  <si>
    <r>
      <t xml:space="preserve">Set </t>
    </r>
    <r>
      <rPr>
        <i/>
        <sz val="11"/>
        <color theme="1"/>
        <rFont val="Calibri"/>
        <family val="2"/>
        <scheme val="minor"/>
      </rPr>
      <t>other</t>
    </r>
  </si>
  <si>
    <t>NewName</t>
  </si>
  <si>
    <t>NewOther</t>
  </si>
  <si>
    <t>continue to next attribute</t>
  </si>
  <si>
    <t>move to select subelements</t>
  </si>
  <si>
    <r>
      <t xml:space="preserve">dropdown select </t>
    </r>
    <r>
      <rPr>
        <i/>
        <sz val="11"/>
        <color theme="1"/>
        <rFont val="Calibri"/>
        <family val="2"/>
        <scheme val="minor"/>
      </rPr>
      <t>element1</t>
    </r>
    <r>
      <rPr>
        <sz val="11"/>
        <color theme="1"/>
        <rFont val="Calibri"/>
        <family val="2"/>
        <scheme val="minor"/>
      </rPr>
      <t xml:space="preserve">, &amp; </t>
    </r>
    <r>
      <rPr>
        <i/>
        <sz val="11"/>
        <color theme="1"/>
        <rFont val="Calibri"/>
        <family val="2"/>
        <scheme val="minor"/>
      </rPr>
      <t>element2</t>
    </r>
  </si>
  <si>
    <t>Select subelements</t>
  </si>
  <si>
    <t>Close select subelements window</t>
  </si>
  <si>
    <t>window X press</t>
  </si>
  <si>
    <r>
      <t xml:space="preserve">move to </t>
    </r>
    <r>
      <rPr>
        <i/>
        <sz val="11"/>
        <color theme="1"/>
        <rFont val="Calibri"/>
        <family val="2"/>
        <scheme val="minor"/>
      </rPr>
      <t>element2</t>
    </r>
    <r>
      <rPr>
        <sz val="11"/>
        <color theme="1"/>
        <rFont val="Calibri"/>
        <family val="2"/>
        <scheme val="minor"/>
      </rPr>
      <t xml:space="preserve"> select attributes window</t>
    </r>
  </si>
  <si>
    <t>select attributes window appears</t>
  </si>
  <si>
    <r>
      <t xml:space="preserve">Set </t>
    </r>
    <r>
      <rPr>
        <i/>
        <sz val="11"/>
        <color theme="1"/>
        <rFont val="Calibri"/>
        <family val="2"/>
        <scheme val="minor"/>
      </rPr>
      <t>Name</t>
    </r>
  </si>
  <si>
    <t>Select Resolution Style</t>
  </si>
  <si>
    <t>text input for new name window appears</t>
  </si>
  <si>
    <t>"Name" button press</t>
  </si>
  <si>
    <t>name still redundant, choose new resolution method</t>
  </si>
  <si>
    <t>"Replace" button press</t>
  </si>
  <si>
    <t>Set still redundant Name</t>
  </si>
  <si>
    <t>Set nonredundant Name</t>
  </si>
  <si>
    <t>OtherName</t>
  </si>
  <si>
    <t>new name set, continue to select subelements</t>
  </si>
  <si>
    <t>Modify into Redundant Element Name</t>
  </si>
  <si>
    <t>Select element to modify</t>
  </si>
  <si>
    <r>
      <t xml:space="preserve">Set </t>
    </r>
    <r>
      <rPr>
        <i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 xml:space="preserve"> for </t>
    </r>
    <r>
      <rPr>
        <i/>
        <sz val="11"/>
        <color theme="1"/>
        <rFont val="Calibri"/>
        <family val="2"/>
        <scheme val="minor"/>
      </rPr>
      <t>element1</t>
    </r>
  </si>
  <si>
    <r>
      <t xml:space="preserve">Select attributes to modify for </t>
    </r>
    <r>
      <rPr>
        <i/>
        <sz val="11"/>
        <color theme="1"/>
        <rFont val="Calibri"/>
        <family val="2"/>
        <scheme val="minor"/>
      </rPr>
      <t>element2</t>
    </r>
  </si>
  <si>
    <r>
      <t xml:space="preserve">Select element to modify for </t>
    </r>
    <r>
      <rPr>
        <i/>
        <sz val="11"/>
        <color theme="1"/>
        <rFont val="Calibri"/>
        <family val="2"/>
        <scheme val="minor"/>
      </rPr>
      <t>element1</t>
    </r>
  </si>
  <si>
    <r>
      <t xml:space="preserve">Select attributes to modify for </t>
    </r>
    <r>
      <rPr>
        <i/>
        <sz val="11"/>
        <color theme="1"/>
        <rFont val="Calibri"/>
        <family val="2"/>
        <scheme val="minor"/>
      </rPr>
      <t>element1</t>
    </r>
  </si>
  <si>
    <t>Set Name for element2</t>
  </si>
  <si>
    <t>"Cancel" button press</t>
  </si>
  <si>
    <t>open type select window</t>
  </si>
  <si>
    <t>Select Element Type</t>
  </si>
  <si>
    <t>template select for AddOnInstructionDefinition elements opens</t>
  </si>
  <si>
    <t>Select Element Template</t>
  </si>
  <si>
    <t>quantity select window opens</t>
  </si>
  <si>
    <t>Quantity Select</t>
  </si>
  <si>
    <t>User Inputs Quantity to create</t>
  </si>
  <si>
    <t>Set Name text input opens for first object</t>
  </si>
  <si>
    <t>Text input names</t>
  </si>
  <si>
    <t>Set name of element</t>
  </si>
  <si>
    <t>Text input name of element</t>
  </si>
  <si>
    <t>Repeat step 5 for selected number of elements until all elements are named</t>
  </si>
  <si>
    <t>new element created</t>
  </si>
  <si>
    <t>all elements created with names, then return to action select</t>
  </si>
  <si>
    <t>"Module" selected from dropdown</t>
  </si>
  <si>
    <t>template select for Module elements opens</t>
  </si>
  <si>
    <t>"AddOnInstructionDefinition" selected from dropdown</t>
  </si>
  <si>
    <t>"TemplateFBAOI" element selected for template</t>
  </si>
  <si>
    <t>"1756-IA16" element selected for template</t>
  </si>
  <si>
    <t>Selected quantity of modules created, return to action select</t>
  </si>
  <si>
    <t>Set name of element1</t>
  </si>
  <si>
    <t>NewAOI</t>
  </si>
  <si>
    <t>Set name of element2</t>
  </si>
  <si>
    <t>new element created, move to name window for element2</t>
  </si>
  <si>
    <t>redundant name, move to resolution style window</t>
  </si>
  <si>
    <t>existing element replaced by new element, move to next element</t>
  </si>
  <si>
    <t>User Inputs Quantity to create of 4</t>
  </si>
  <si>
    <t>Set name of element3</t>
  </si>
  <si>
    <t>Cancel creation of new element, move to next element</t>
  </si>
  <si>
    <t>Set name of element4</t>
  </si>
  <si>
    <t>cancel element modification, return to action select window</t>
  </si>
  <si>
    <t>existing element replaced by new element, move to next element modify</t>
  </si>
  <si>
    <t>open new name TextInput window</t>
  </si>
  <si>
    <t>new name set, return to action select window</t>
  </si>
  <si>
    <t>Test ID</t>
  </si>
  <si>
    <t>Test Name</t>
  </si>
  <si>
    <t>Test Status</t>
  </si>
  <si>
    <t>Redundant Element Creation</t>
  </si>
  <si>
    <t>ValidTestStatuses</t>
  </si>
  <si>
    <t>Fail</t>
  </si>
  <si>
    <t>Not Implemented</t>
  </si>
  <si>
    <t>Not Run</t>
  </si>
  <si>
    <t>Test Priority</t>
  </si>
  <si>
    <t>High</t>
  </si>
  <si>
    <t>Medium</t>
  </si>
  <si>
    <t>Low</t>
  </si>
  <si>
    <t>Row Labels</t>
  </si>
  <si>
    <t>Grand Total</t>
  </si>
  <si>
    <t>Count of Test Status</t>
  </si>
  <si>
    <t>Select File to import from</t>
  </si>
  <si>
    <t>C:\Users\i01505732\OneDrive - Endress+Hauser\Thesis Work\CodeProjects\L5XFiles\TemplateFiles</t>
  </si>
  <si>
    <t>"Import Element" Press</t>
  </si>
  <si>
    <t>button Press</t>
  </si>
  <si>
    <t>open file explorer</t>
  </si>
  <si>
    <t>Select Element To Import</t>
  </si>
  <si>
    <t>Add another From File</t>
  </si>
  <si>
    <t>open to type select window</t>
  </si>
  <si>
    <t>existing element replaced by new element, move to Add Another window</t>
  </si>
  <si>
    <t>move to add another window</t>
  </si>
  <si>
    <t>"No" button press</t>
  </si>
  <si>
    <t>Description: Test the functionality of the Import Element block</t>
  </si>
  <si>
    <t>TemplateFBAOI</t>
  </si>
  <si>
    <t>add another from file window opens</t>
  </si>
  <si>
    <t>Test Priority:</t>
  </si>
  <si>
    <t>Test Priority: Low</t>
  </si>
  <si>
    <t>Select Quantity</t>
  </si>
  <si>
    <t>"Create Element" button pressed</t>
  </si>
  <si>
    <t>ActionSelectLayout</t>
  </si>
  <si>
    <t>Verify Buttons found</t>
  </si>
  <si>
    <t>ImportElementButton, "CreateElementButton", "ModifyElementButton", "DeleteElementButton", "NewFileButton", "LoadFileButton", "ValidateFileButton", "SaveFileButton", "ExitActionSelect", "Minimize", "Maximize", "Close"</t>
  </si>
  <si>
    <t>button names match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</si>
</sst>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2" xfId="0" applyBorder="1"/>
    <xf numFmtId="0" fontId="0" fillId="0" borderId="0" xfId="0" applyAlignment="1">
      <alignment horizontal="left" wrapText="1"/>
    </xf>
    <xf numFmtId="0" fontId="1" fillId="0" borderId="0" xfId="0" applyFont="1" applyAlignment="1">
      <alignment wrapText="1"/>
    </xf>
    <xf numFmtId="0" fontId="1" fillId="0" borderId="2" xfId="0" applyFont="1" applyBorder="1"/>
    <xf numFmtId="0" fontId="0" fillId="0" borderId="2" xfId="0" applyBorder="1" applyAlignment="1">
      <alignment vertical="center"/>
    </xf>
    <xf numFmtId="0" fontId="0" fillId="0" borderId="0" xfId="0" applyAlignment="1">
      <alignment horizontal="left" vertical="top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 wrapText="1"/>
    </xf>
  </cellXfs>
  <cellStyles count="1">
    <cellStyle name="Normal" xfId="0" builtinId="0"/>
  </cellStyles>
  <dxfs count="7"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numFmt numFmtId="30" formatCode="@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 Cases.xlsx]Tests!PivotTable1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</a:t>
            </a:r>
            <a:r>
              <a:rPr lang="en-US" baseline="0"/>
              <a:t>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Tests!$I$1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965-4BB0-963B-D0828DC189BE}"/>
              </c:ext>
            </c:extLst>
          </c:dPt>
          <c:cat>
            <c:strRef>
              <c:f>Tests!$H$2:$H$3</c:f>
              <c:strCache>
                <c:ptCount val="1"/>
                <c:pt idx="0">
                  <c:v>Not Implemented</c:v>
                </c:pt>
              </c:strCache>
            </c:strRef>
          </c:cat>
          <c:val>
            <c:numRef>
              <c:f>Tests!$I$2:$I$3</c:f>
              <c:numCache>
                <c:formatCode>General</c:formatCode>
                <c:ptCount val="1"/>
                <c:pt idx="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76-4D6E-AC74-808A7240A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525462</xdr:colOff>
      <xdr:row>0</xdr:row>
      <xdr:rowOff>25400</xdr:rowOff>
    </xdr:from>
    <xdr:to>
      <xdr:col>13</xdr:col>
      <xdr:colOff>217487</xdr:colOff>
      <xdr:row>15</xdr:row>
      <xdr:rowOff>66675</xdr:rowOff>
    </xdr:to>
    <xdr:graphicFrame macro="">
      <xdr:nvGraphicFramePr>
        <xdr:cNvPr id="8" name="TestStatuses">
          <a:extLst>
            <a:ext uri="{FF2B5EF4-FFF2-40B4-BE49-F238E27FC236}">
              <a16:creationId xmlns:a16="http://schemas.microsoft.com/office/drawing/2014/main" id="{31C6DF7A-8AF9-3EC8-6E60-3FE0AD134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rbin Ferguson" refreshedDate="46035.626586689817" createdVersion="8" refreshedVersion="8" minRefreshableVersion="3" recordCount="17" xr:uid="{32ED145B-7CBC-4C3A-9787-F34239E1DCF7}">
  <cacheSource type="worksheet">
    <worksheetSource name="TestMaster[Test Status]"/>
  </cacheSource>
  <cacheFields count="1">
    <cacheField name="Test Status" numFmtId="49">
      <sharedItems containsBlank="1" count="4">
        <s v="Not Implemented"/>
        <m u="1"/>
        <s v="Pass" u="1"/>
        <s v="Fail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1A9901-5E04-4A3B-B526-FF91A8F26FE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H1:I3" firstHeaderRow="1" firstDataRow="1" firstDataCol="1"/>
  <pivotFields count="1">
    <pivotField axis="axisRow" dataField="1" showAll="0">
      <items count="5">
        <item x="0"/>
        <item m="1" x="1"/>
        <item m="1" x="2"/>
        <item m="1" x="3"/>
        <item t="default"/>
      </items>
    </pivotField>
  </pivotFields>
  <rowFields count="1">
    <field x="0"/>
  </rowFields>
  <rowItems count="2">
    <i>
      <x/>
    </i>
    <i t="grand">
      <x/>
    </i>
  </rowItems>
  <colItems count="1">
    <i/>
  </colItems>
  <dataFields count="1">
    <dataField name="Count of Test Status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34A821-A8AD-4FEE-8065-115AD927679E}" name="TestMaster" displayName="TestMaster" ref="A1:E16">
  <autoFilter ref="A1:E16" xr:uid="{8C34A821-A8AD-4FEE-8065-115AD927679E}"/>
  <tableColumns count="5">
    <tableColumn id="1" xr3:uid="{0D10C69B-6EC1-4AEC-8C25-C7145B24EE5C}" name="Test ID" totalsRowLabel="Total" dataDxfId="6">
      <calculatedColumnFormula>ROW()-1</calculatedColumnFormula>
    </tableColumn>
    <tableColumn id="4" xr3:uid="{0DD93D8B-1253-426F-BD9C-DB3270764C0E}" name="Test Name" dataDxfId="5">
      <calculatedColumnFormula array="1">'Element Import Testing'!#REF!</calculatedColumnFormula>
    </tableColumn>
    <tableColumn id="5" xr3:uid="{D890704A-1E89-45FC-9020-1B4D77638AD9}" name="Test Status" dataDxfId="4"/>
    <tableColumn id="6" xr3:uid="{53C2EC8F-F8B4-4172-9046-AEC0B2D3E1F8}" name="ValidTestStatuses" totalsRowFunction="count"/>
    <tableColumn id="7" xr3:uid="{FD3612E1-82C6-4843-A9F4-BDFED99E1F88}" name="Test Priority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12478-31DB-4352-AB46-996C676231F3}">
  <dimension ref="A1:I16"/>
  <sheetViews>
    <sheetView workbookViewId="0">
      <selection activeCell="B16" sqref="B16"/>
    </sheetView>
  </sheetViews>
  <sheetFormatPr defaultRowHeight="14.5" x14ac:dyDescent="0.35"/>
  <cols>
    <col min="1" max="1" width="10.453125" customWidth="1"/>
    <col min="2" max="2" width="34.1796875" bestFit="1" customWidth="1"/>
    <col min="3" max="3" width="16.1796875" style="6" bestFit="1" customWidth="1"/>
    <col min="4" max="4" width="18.453125" hidden="1" customWidth="1"/>
    <col min="5" max="5" width="13.453125" bestFit="1" customWidth="1"/>
    <col min="8" max="8" width="16.1796875" bestFit="1" customWidth="1"/>
    <col min="9" max="9" width="18" bestFit="1" customWidth="1"/>
  </cols>
  <sheetData>
    <row r="1" spans="1:9" x14ac:dyDescent="0.35">
      <c r="A1" t="s">
        <v>157</v>
      </c>
      <c r="B1" t="s">
        <v>158</v>
      </c>
      <c r="C1" s="6" t="s">
        <v>159</v>
      </c>
      <c r="D1" t="s">
        <v>161</v>
      </c>
      <c r="E1" t="s">
        <v>165</v>
      </c>
      <c r="G1">
        <f>COUNTIF(TestMaster[Test Status], "Not Implemented")</f>
        <v>15</v>
      </c>
      <c r="H1" s="7" t="s">
        <v>169</v>
      </c>
      <c r="I1" t="s">
        <v>171</v>
      </c>
    </row>
    <row r="2" spans="1:9" x14ac:dyDescent="0.35">
      <c r="A2">
        <f t="shared" ref="A2:A16" si="0">ROW()-1</f>
        <v>1</v>
      </c>
      <c r="B2" t="str" cm="1">
        <f t="array" ref="B2">'Element Import Testing'!A1:A1</f>
        <v>Import Select Redundant Name</v>
      </c>
      <c r="C2" s="6" t="s">
        <v>163</v>
      </c>
      <c r="D2" t="s">
        <v>162</v>
      </c>
      <c r="E2" t="s">
        <v>167</v>
      </c>
      <c r="G2">
        <f>COUNTIF(TestMaster[Test Status], "Pass")</f>
        <v>0</v>
      </c>
      <c r="H2" s="8" t="s">
        <v>163</v>
      </c>
      <c r="I2">
        <v>17</v>
      </c>
    </row>
    <row r="3" spans="1:9" x14ac:dyDescent="0.35">
      <c r="A3">
        <f t="shared" si="0"/>
        <v>2</v>
      </c>
      <c r="B3" t="str" cm="1">
        <f t="array" ref="B3">'Element Creation Testing'!A1:A1</f>
        <v>Element Quantity Creation</v>
      </c>
      <c r="C3" s="6" t="s">
        <v>163</v>
      </c>
      <c r="D3" t="s">
        <v>164</v>
      </c>
      <c r="E3" t="s">
        <v>166</v>
      </c>
      <c r="G3">
        <f>COUNTIF(TestMaster[Test Status], "Fail")</f>
        <v>0</v>
      </c>
      <c r="H3" s="8" t="s">
        <v>170</v>
      </c>
      <c r="I3">
        <v>17</v>
      </c>
    </row>
    <row r="4" spans="1:9" x14ac:dyDescent="0.35">
      <c r="A4">
        <f t="shared" si="0"/>
        <v>3</v>
      </c>
      <c r="B4" t="str" cm="1">
        <f t="array" ref="B4">'Element Creation Testing'!G1:G1</f>
        <v>Nameless Module Creation</v>
      </c>
      <c r="C4" s="6" t="s">
        <v>163</v>
      </c>
      <c r="E4" t="s">
        <v>167</v>
      </c>
      <c r="G4">
        <f>COUNTIF(TestMaster[Test Status], "Not Run")</f>
        <v>0</v>
      </c>
    </row>
    <row r="5" spans="1:9" x14ac:dyDescent="0.35">
      <c r="A5">
        <f t="shared" si="0"/>
        <v>4</v>
      </c>
      <c r="B5" t="str" cm="1">
        <f t="array" ref="B5">'Element Creation Testing'!M1:M1</f>
        <v>Redundant Element Creation</v>
      </c>
      <c r="C5" s="6" t="s">
        <v>163</v>
      </c>
      <c r="E5" t="s">
        <v>168</v>
      </c>
    </row>
    <row r="6" spans="1:9" x14ac:dyDescent="0.35">
      <c r="A6">
        <f t="shared" si="0"/>
        <v>5</v>
      </c>
      <c r="B6" t="str">
        <f>'Element Modification Testing'!A1</f>
        <v>No Element to Modify</v>
      </c>
      <c r="C6" s="6" t="s">
        <v>163</v>
      </c>
      <c r="E6" t="s">
        <v>167</v>
      </c>
    </row>
    <row r="7" spans="1:9" x14ac:dyDescent="0.35">
      <c r="A7">
        <f t="shared" si="0"/>
        <v>6</v>
      </c>
      <c r="B7" t="str">
        <f>'Element Modification Testing'!G1</f>
        <v>Completed Element Modification</v>
      </c>
      <c r="C7" s="6" t="s">
        <v>163</v>
      </c>
      <c r="E7" t="s">
        <v>167</v>
      </c>
    </row>
    <row r="8" spans="1:9" x14ac:dyDescent="0.35">
      <c r="A8">
        <f t="shared" si="0"/>
        <v>7</v>
      </c>
      <c r="B8" t="str">
        <f>'Element Modification Testing'!M1</f>
        <v>Modify into Redundant Element Name</v>
      </c>
      <c r="C8" s="6" t="s">
        <v>163</v>
      </c>
      <c r="E8" t="s">
        <v>168</v>
      </c>
    </row>
    <row r="9" spans="1:9" x14ac:dyDescent="0.35">
      <c r="A9">
        <f t="shared" si="0"/>
        <v>8</v>
      </c>
      <c r="B9" t="str">
        <f>'Element Deletion Testing'!A1</f>
        <v>Delete No Element Type</v>
      </c>
      <c r="C9" s="6" t="s">
        <v>163</v>
      </c>
      <c r="E9" t="s">
        <v>167</v>
      </c>
    </row>
    <row r="10" spans="1:9" x14ac:dyDescent="0.35">
      <c r="A10">
        <f t="shared" si="0"/>
        <v>9</v>
      </c>
      <c r="B10" t="str">
        <f>'Element Deletion Testing'!G1</f>
        <v>Delete Element Found</v>
      </c>
      <c r="C10" s="6" t="s">
        <v>163</v>
      </c>
      <c r="E10" t="s">
        <v>167</v>
      </c>
    </row>
    <row r="11" spans="1:9" x14ac:dyDescent="0.35">
      <c r="A11">
        <f t="shared" si="0"/>
        <v>10</v>
      </c>
      <c r="B11" t="str">
        <f>'Element Deletion Testing'!M1</f>
        <v>Delete Module by Port</v>
      </c>
      <c r="C11" s="6" t="s">
        <v>163</v>
      </c>
      <c r="E11" t="s">
        <v>168</v>
      </c>
    </row>
    <row r="12" spans="1:9" x14ac:dyDescent="0.35">
      <c r="A12">
        <f t="shared" si="0"/>
        <v>11</v>
      </c>
      <c r="B12" t="str">
        <f>'File Manipulation Testing'!A1</f>
        <v>New File Creation</v>
      </c>
      <c r="C12" s="6" t="s">
        <v>163</v>
      </c>
      <c r="E12" t="s">
        <v>166</v>
      </c>
    </row>
    <row r="13" spans="1:9" x14ac:dyDescent="0.35">
      <c r="A13">
        <f t="shared" si="0"/>
        <v>12</v>
      </c>
      <c r="B13" t="str">
        <f>'File Manipulation Testing'!G1</f>
        <v>Save File</v>
      </c>
      <c r="C13" s="6" t="s">
        <v>163</v>
      </c>
      <c r="E13" t="s">
        <v>166</v>
      </c>
    </row>
    <row r="14" spans="1:9" x14ac:dyDescent="0.35">
      <c r="A14">
        <f t="shared" si="0"/>
        <v>13</v>
      </c>
      <c r="B14" t="str">
        <f>'File Manipulation Testing'!M1</f>
        <v>Load File</v>
      </c>
      <c r="C14" s="6" t="s">
        <v>163</v>
      </c>
      <c r="E14" t="s">
        <v>167</v>
      </c>
    </row>
    <row r="15" spans="1:9" x14ac:dyDescent="0.35">
      <c r="A15">
        <f t="shared" si="0"/>
        <v>14</v>
      </c>
      <c r="B15" t="str">
        <f>'File Manipulation Testing'!S1</f>
        <v>Validate File</v>
      </c>
      <c r="C15" s="6" t="s">
        <v>163</v>
      </c>
      <c r="E15" t="s">
        <v>168</v>
      </c>
    </row>
    <row r="16" spans="1:9" x14ac:dyDescent="0.35">
      <c r="A16">
        <f t="shared" si="0"/>
        <v>15</v>
      </c>
      <c r="B16" t="str">
        <f>'File Manipulation Testing'!Y1</f>
        <v>ActionSelectLayout</v>
      </c>
      <c r="C16" s="6" t="s">
        <v>163</v>
      </c>
      <c r="E16" t="s">
        <v>166</v>
      </c>
    </row>
  </sheetData>
  <phoneticPr fontId="3" type="noConversion"/>
  <conditionalFormatting sqref="C1:C1048576">
    <cfRule type="containsText" dxfId="3" priority="1" operator="containsText" text="Not Run">
      <formula>NOT(ISERROR(SEARCH("Not Run",C1)))</formula>
    </cfRule>
    <cfRule type="containsText" dxfId="2" priority="2" operator="containsText" text="Fail">
      <formula>NOT(ISERROR(SEARCH("Fail",C1)))</formula>
    </cfRule>
    <cfRule type="containsText" dxfId="1" priority="3" operator="containsText" text="Pass">
      <formula>NOT(ISERROR(SEARCH("Pass",C1)))</formula>
    </cfRule>
    <cfRule type="containsText" dxfId="0" priority="4" operator="containsText" text="Not Implemented">
      <formula>NOT(ISERROR(SEARCH("Not Implemented",C1)))</formula>
    </cfRule>
  </conditionalFormatting>
  <conditionalFormatting sqref="C17:C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list" allowBlank="1" showInputMessage="1" showErrorMessage="1" sqref="C1:C1048576" xr:uid="{130BDE1A-E0D9-44C7-AF19-F67B1FE4D5D4}">
      <formula1>$D$2:$D$16</formula1>
    </dataValidation>
    <dataValidation type="list" allowBlank="1" showInputMessage="1" showErrorMessage="1" sqref="E2:E1048576" xr:uid="{0649BA16-611B-4B21-AD1C-F4AC893E68EF}">
      <formula1>"Low,Medium,High"</formula1>
    </dataValidation>
  </dataValidations>
  <pageMargins left="0.7" right="0.7" top="0.75" bottom="0.75" header="0.3" footer="0.3"/>
  <ignoredErrors>
    <ignoredError sqref="C1" listDataValidation="1"/>
  </ignoredError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DAC1D-2E28-4DF7-A44B-A179A310D91E}">
  <dimension ref="A1:F25"/>
  <sheetViews>
    <sheetView topLeftCell="A15" workbookViewId="0">
      <selection activeCell="A26" sqref="A26"/>
    </sheetView>
  </sheetViews>
  <sheetFormatPr defaultRowHeight="14.5" x14ac:dyDescent="0.35"/>
  <cols>
    <col min="1" max="1" width="6.453125" customWidth="1"/>
    <col min="2" max="2" width="22.81640625" bestFit="1" customWidth="1"/>
    <col min="3" max="3" width="48.81640625" bestFit="1" customWidth="1"/>
    <col min="4" max="4" width="56.7265625" style="2" bestFit="1" customWidth="1"/>
    <col min="5" max="5" width="18.453125" bestFit="1" customWidth="1"/>
    <col min="6" max="6" width="16.1796875" style="9" bestFit="1" customWidth="1"/>
  </cols>
  <sheetData>
    <row r="1" spans="1:6" x14ac:dyDescent="0.35">
      <c r="A1" s="16" t="s">
        <v>13</v>
      </c>
      <c r="B1" s="16"/>
      <c r="C1" s="16"/>
      <c r="D1" s="16"/>
      <c r="E1" s="16"/>
      <c r="F1" s="17"/>
    </row>
    <row r="2" spans="1:6" x14ac:dyDescent="0.35">
      <c r="A2" s="16" t="s">
        <v>3</v>
      </c>
      <c r="B2" s="16"/>
      <c r="C2" s="8">
        <f>IFERROR(_xlfn.XLOOKUP(A1, TestMaster[Test Name], TestMaster[Test ID], "ID not found"), "")</f>
        <v>1</v>
      </c>
      <c r="E2" t="s">
        <v>4</v>
      </c>
    </row>
    <row r="3" spans="1:6" ht="16.5" customHeight="1" x14ac:dyDescent="0.35">
      <c r="A3" s="16" t="s">
        <v>186</v>
      </c>
      <c r="B3" s="16"/>
      <c r="C3" s="10" t="str">
        <f>IFERROR(_xlfn.XLOOKUP(A1, TestMaster[Test Name], TestMaster[Test Priority], "Priority not found"), "")</f>
        <v>Medium</v>
      </c>
      <c r="E3" t="s">
        <v>5</v>
      </c>
      <c r="F3" s="9" t="str">
        <f>IFERROR(_xlfn.XLOOKUP(A1, TestMaster[Test Name], TestMaster[Test Status], "Status not found"), "")</f>
        <v>Not Implemented</v>
      </c>
    </row>
    <row r="4" spans="1:6" x14ac:dyDescent="0.35">
      <c r="A4" s="16" t="s">
        <v>183</v>
      </c>
      <c r="B4" s="16"/>
      <c r="C4" s="16"/>
      <c r="D4" s="16"/>
      <c r="E4" s="16"/>
      <c r="F4" s="17"/>
    </row>
    <row r="5" spans="1:6" x14ac:dyDescent="0.35">
      <c r="A5" s="16"/>
      <c r="B5" s="16"/>
      <c r="C5" s="16"/>
      <c r="D5" s="16"/>
      <c r="E5" s="16"/>
      <c r="F5" s="17"/>
    </row>
    <row r="6" spans="1:6" x14ac:dyDescent="0.35">
      <c r="A6" s="16" t="s">
        <v>7</v>
      </c>
      <c r="B6" s="16"/>
      <c r="C6" s="16"/>
      <c r="D6" s="16"/>
      <c r="E6" s="16"/>
      <c r="F6" s="17"/>
    </row>
    <row r="7" spans="1:6" x14ac:dyDescent="0.35">
      <c r="A7" s="1" t="s">
        <v>0</v>
      </c>
      <c r="B7" s="1" t="s">
        <v>8</v>
      </c>
      <c r="C7" s="1" t="s">
        <v>9</v>
      </c>
      <c r="D7" s="11" t="s">
        <v>1</v>
      </c>
      <c r="E7" s="1" t="s">
        <v>10</v>
      </c>
      <c r="F7" s="12" t="s">
        <v>2</v>
      </c>
    </row>
    <row r="8" spans="1:6" x14ac:dyDescent="0.35">
      <c r="A8">
        <v>1</v>
      </c>
      <c r="B8" t="s">
        <v>174</v>
      </c>
      <c r="C8" t="s">
        <v>175</v>
      </c>
      <c r="D8" s="2" t="s">
        <v>176</v>
      </c>
    </row>
    <row r="9" spans="1:6" ht="29" x14ac:dyDescent="0.35">
      <c r="A9" s="5">
        <f>A8+1</f>
        <v>2</v>
      </c>
      <c r="B9" s="4" t="s">
        <v>172</v>
      </c>
      <c r="C9" s="4" t="s">
        <v>173</v>
      </c>
      <c r="D9" s="4" t="s">
        <v>123</v>
      </c>
    </row>
    <row r="10" spans="1:6" x14ac:dyDescent="0.35">
      <c r="A10" s="5">
        <f>A9+1</f>
        <v>3</v>
      </c>
      <c r="B10" s="4" t="s">
        <v>124</v>
      </c>
      <c r="C10" s="4" t="s">
        <v>139</v>
      </c>
      <c r="D10" s="4" t="s">
        <v>125</v>
      </c>
    </row>
    <row r="11" spans="1:6" x14ac:dyDescent="0.35">
      <c r="A11" s="5">
        <f t="shared" ref="A11:A25" si="0">A10+1</f>
        <v>4</v>
      </c>
      <c r="B11" s="4" t="s">
        <v>177</v>
      </c>
      <c r="C11" s="4" t="s">
        <v>140</v>
      </c>
      <c r="D11" s="4" t="s">
        <v>185</v>
      </c>
    </row>
    <row r="12" spans="1:6" x14ac:dyDescent="0.35">
      <c r="A12" s="5">
        <f t="shared" si="0"/>
        <v>5</v>
      </c>
      <c r="B12" s="4" t="s">
        <v>178</v>
      </c>
      <c r="C12" s="4" t="s">
        <v>27</v>
      </c>
      <c r="D12" s="2" t="s">
        <v>179</v>
      </c>
    </row>
    <row r="13" spans="1:6" x14ac:dyDescent="0.35">
      <c r="A13" s="5">
        <f t="shared" si="0"/>
        <v>6</v>
      </c>
      <c r="B13" s="4" t="s">
        <v>124</v>
      </c>
      <c r="C13" s="4" t="s">
        <v>139</v>
      </c>
      <c r="D13" s="4" t="s">
        <v>125</v>
      </c>
    </row>
    <row r="14" spans="1:6" x14ac:dyDescent="0.35">
      <c r="A14" s="5">
        <f t="shared" si="0"/>
        <v>7</v>
      </c>
      <c r="B14" s="4" t="s">
        <v>177</v>
      </c>
      <c r="C14" s="4" t="s">
        <v>140</v>
      </c>
      <c r="D14" s="4" t="s">
        <v>181</v>
      </c>
    </row>
    <row r="15" spans="1:6" ht="29" x14ac:dyDescent="0.35">
      <c r="A15" s="5">
        <f t="shared" si="0"/>
        <v>8</v>
      </c>
      <c r="B15" t="s">
        <v>106</v>
      </c>
      <c r="C15" t="s">
        <v>110</v>
      </c>
      <c r="D15" s="2" t="s">
        <v>180</v>
      </c>
    </row>
    <row r="16" spans="1:6" x14ac:dyDescent="0.35">
      <c r="A16" s="5">
        <f t="shared" si="0"/>
        <v>9</v>
      </c>
      <c r="B16" s="4" t="s">
        <v>178</v>
      </c>
      <c r="C16" s="4" t="s">
        <v>27</v>
      </c>
      <c r="D16" s="2" t="s">
        <v>179</v>
      </c>
    </row>
    <row r="17" spans="1:4" x14ac:dyDescent="0.35">
      <c r="A17" s="5">
        <f t="shared" si="0"/>
        <v>10</v>
      </c>
      <c r="B17" s="4" t="s">
        <v>124</v>
      </c>
      <c r="C17" s="4" t="s">
        <v>139</v>
      </c>
      <c r="D17" s="4" t="s">
        <v>125</v>
      </c>
    </row>
    <row r="18" spans="1:4" x14ac:dyDescent="0.35">
      <c r="A18" s="5">
        <f t="shared" si="0"/>
        <v>11</v>
      </c>
      <c r="B18" s="4" t="s">
        <v>177</v>
      </c>
      <c r="C18" s="4" t="s">
        <v>140</v>
      </c>
      <c r="D18" s="4" t="s">
        <v>127</v>
      </c>
    </row>
    <row r="19" spans="1:4" x14ac:dyDescent="0.35">
      <c r="A19" s="5">
        <f t="shared" si="0"/>
        <v>12</v>
      </c>
      <c r="B19" t="s">
        <v>106</v>
      </c>
      <c r="C19" t="s">
        <v>122</v>
      </c>
      <c r="D19" s="2" t="s">
        <v>151</v>
      </c>
    </row>
    <row r="20" spans="1:4" x14ac:dyDescent="0.35">
      <c r="A20" s="5">
        <f t="shared" si="0"/>
        <v>13</v>
      </c>
      <c r="B20" s="4" t="s">
        <v>178</v>
      </c>
      <c r="C20" s="4" t="s">
        <v>27</v>
      </c>
      <c r="D20" s="2" t="s">
        <v>179</v>
      </c>
    </row>
    <row r="21" spans="1:4" x14ac:dyDescent="0.35">
      <c r="A21" s="5">
        <f t="shared" si="0"/>
        <v>14</v>
      </c>
      <c r="B21" t="s">
        <v>106</v>
      </c>
      <c r="C21" t="s">
        <v>108</v>
      </c>
      <c r="D21" s="2" t="s">
        <v>155</v>
      </c>
    </row>
    <row r="22" spans="1:4" x14ac:dyDescent="0.35">
      <c r="A22" s="5">
        <f t="shared" si="0"/>
        <v>15</v>
      </c>
      <c r="B22" t="s">
        <v>111</v>
      </c>
      <c r="C22" s="4" t="s">
        <v>184</v>
      </c>
      <c r="D22" s="2" t="s">
        <v>109</v>
      </c>
    </row>
    <row r="23" spans="1:4" x14ac:dyDescent="0.35">
      <c r="A23" s="5">
        <f t="shared" si="0"/>
        <v>16</v>
      </c>
      <c r="B23" t="s">
        <v>106</v>
      </c>
      <c r="C23" t="s">
        <v>108</v>
      </c>
      <c r="D23" s="2" t="s">
        <v>155</v>
      </c>
    </row>
    <row r="24" spans="1:4" x14ac:dyDescent="0.35">
      <c r="A24" s="5">
        <f t="shared" si="0"/>
        <v>17</v>
      </c>
      <c r="B24" t="s">
        <v>112</v>
      </c>
      <c r="C24" t="s">
        <v>113</v>
      </c>
      <c r="D24" s="2" t="s">
        <v>156</v>
      </c>
    </row>
    <row r="25" spans="1:4" x14ac:dyDescent="0.35">
      <c r="A25" s="5">
        <f t="shared" si="0"/>
        <v>18</v>
      </c>
      <c r="B25" s="4" t="s">
        <v>178</v>
      </c>
      <c r="C25" s="4" t="s">
        <v>182</v>
      </c>
      <c r="D25" s="2" t="s">
        <v>39</v>
      </c>
    </row>
  </sheetData>
  <mergeCells count="5">
    <mergeCell ref="A3:B3"/>
    <mergeCell ref="A4:F5"/>
    <mergeCell ref="A6:F6"/>
    <mergeCell ref="A2:B2"/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B6AA-BAF4-4C64-96FE-66D32370F298}">
  <dimension ref="A1:R21"/>
  <sheetViews>
    <sheetView topLeftCell="E1" zoomScaleNormal="100" workbookViewId="0">
      <selection activeCell="J10" sqref="J10"/>
    </sheetView>
  </sheetViews>
  <sheetFormatPr defaultColWidth="8.7265625" defaultRowHeight="14.5" x14ac:dyDescent="0.35"/>
  <cols>
    <col min="1" max="1" width="5" style="5" bestFit="1" customWidth="1"/>
    <col min="2" max="2" width="34.453125" style="5" bestFit="1" customWidth="1"/>
    <col min="3" max="3" width="24.81640625" style="5" customWidth="1"/>
    <col min="4" max="4" width="35.54296875" style="5" customWidth="1"/>
    <col min="5" max="5" width="18.453125" style="5" bestFit="1" customWidth="1"/>
    <col min="6" max="6" width="16.1796875" style="13" bestFit="1" customWidth="1"/>
    <col min="7" max="7" width="5" style="5" bestFit="1" customWidth="1"/>
    <col min="8" max="8" width="29.1796875" style="5" bestFit="1" customWidth="1"/>
    <col min="9" max="9" width="24.1796875" style="5" customWidth="1"/>
    <col min="10" max="10" width="24" style="5" customWidth="1"/>
    <col min="11" max="11" width="18.453125" style="5" bestFit="1" customWidth="1"/>
    <col min="12" max="12" width="16.1796875" style="13" bestFit="1" customWidth="1"/>
    <col min="13" max="13" width="5" style="5" bestFit="1" customWidth="1"/>
    <col min="14" max="14" width="29.1796875" style="5" bestFit="1" customWidth="1"/>
    <col min="15" max="15" width="25.54296875" style="5" customWidth="1"/>
    <col min="16" max="16" width="23.81640625" style="5" customWidth="1"/>
    <col min="17" max="17" width="18.453125" style="5" bestFit="1" customWidth="1"/>
    <col min="18" max="18" width="16.1796875" style="5" bestFit="1" customWidth="1"/>
    <col min="19" max="16384" width="8.7265625" style="5"/>
  </cols>
  <sheetData>
    <row r="1" spans="1:18" customFormat="1" x14ac:dyDescent="0.35">
      <c r="A1" s="16" t="s">
        <v>14</v>
      </c>
      <c r="B1" s="16"/>
      <c r="C1" s="16"/>
      <c r="D1" s="16"/>
      <c r="E1" s="16"/>
      <c r="F1" s="17"/>
      <c r="G1" s="16" t="s">
        <v>15</v>
      </c>
      <c r="H1" s="16"/>
      <c r="I1" s="16"/>
      <c r="J1" s="16"/>
      <c r="K1" s="16"/>
      <c r="L1" s="16"/>
      <c r="M1" s="16" t="s">
        <v>160</v>
      </c>
      <c r="N1" s="16"/>
      <c r="O1" s="16"/>
      <c r="P1" s="16"/>
      <c r="Q1" s="16"/>
      <c r="R1" s="16"/>
    </row>
    <row r="2" spans="1:18" customFormat="1" x14ac:dyDescent="0.35">
      <c r="A2" s="16" t="s">
        <v>3</v>
      </c>
      <c r="B2" s="16"/>
      <c r="C2">
        <f>IFERROR(_xlfn.XLOOKUP(A1, TestMaster[Test Name], TestMaster[Test ID], "ID not found"), "")</f>
        <v>2</v>
      </c>
      <c r="D2" s="5"/>
      <c r="E2" t="s">
        <v>4</v>
      </c>
      <c r="F2" s="9"/>
      <c r="G2" s="16" t="s">
        <v>3</v>
      </c>
      <c r="H2" s="16"/>
      <c r="I2">
        <f>IFERROR(_xlfn.XLOOKUP(G1, TestMaster[Test Name], TestMaster[Test ID], "ID not found"), "")</f>
        <v>3</v>
      </c>
      <c r="J2" s="5"/>
      <c r="K2" t="s">
        <v>4</v>
      </c>
      <c r="L2" s="9"/>
      <c r="M2" s="16" t="s">
        <v>3</v>
      </c>
      <c r="N2" s="16"/>
      <c r="O2">
        <f>IFERROR(_xlfn.XLOOKUP(M1, TestMaster[Test Name], TestMaster[Test ID], "ID not found"), "")</f>
        <v>4</v>
      </c>
      <c r="P2" s="5"/>
      <c r="Q2" t="s">
        <v>4</v>
      </c>
    </row>
    <row r="3" spans="1:18" customFormat="1" x14ac:dyDescent="0.35">
      <c r="A3" s="16" t="s">
        <v>186</v>
      </c>
      <c r="B3" s="16"/>
      <c r="C3" t="str">
        <f>IFERROR(_xlfn.XLOOKUP(A1, TestMaster[Test Name], TestMaster[Test Priority], "Priority not found"), "")</f>
        <v>High</v>
      </c>
      <c r="D3" s="5"/>
      <c r="E3" t="s">
        <v>5</v>
      </c>
      <c r="F3" s="9" t="str">
        <f>IFERROR(_xlfn.XLOOKUP(A1, TestMaster[Test Name], TestMaster[Test Status], "Status not found"), "")</f>
        <v>Not Implemented</v>
      </c>
      <c r="G3" s="16" t="s">
        <v>186</v>
      </c>
      <c r="H3" s="16"/>
      <c r="I3" t="str">
        <f>IFERROR(_xlfn.XLOOKUP(G1, TestMaster[Test Name], TestMaster[Test Priority], "Priority not found"), "")</f>
        <v>Medium</v>
      </c>
      <c r="J3" s="5"/>
      <c r="K3" t="s">
        <v>5</v>
      </c>
      <c r="L3" s="9" t="str">
        <f>IFERROR(_xlfn.XLOOKUP(G1, TestMaster[Test Name], TestMaster[Test Status], "Status not found"), "")</f>
        <v>Not Implemented</v>
      </c>
      <c r="M3" s="16" t="s">
        <v>186</v>
      </c>
      <c r="N3" s="16"/>
      <c r="O3" t="str">
        <f>IFERROR(_xlfn.XLOOKUP(M1, TestMaster[Test Name], TestMaster[Test Priority], "Priority not found"), "")</f>
        <v>Low</v>
      </c>
      <c r="P3" s="5"/>
      <c r="Q3" t="s">
        <v>5</v>
      </c>
      <c r="R3" t="str">
        <f>IFERROR(_xlfn.XLOOKUP(M1, TestMaster[Test Name], TestMaster[Test Status], "Status not found"), "")</f>
        <v>Not Implemented</v>
      </c>
    </row>
    <row r="4" spans="1:18" customFormat="1" x14ac:dyDescent="0.35">
      <c r="A4" s="16" t="s">
        <v>6</v>
      </c>
      <c r="B4" s="16"/>
      <c r="C4" s="16"/>
      <c r="D4" s="16"/>
      <c r="E4" s="16"/>
      <c r="F4" s="17"/>
      <c r="G4" s="16" t="s">
        <v>6</v>
      </c>
      <c r="H4" s="16"/>
      <c r="I4" s="16"/>
      <c r="J4" s="16"/>
      <c r="K4" s="16"/>
      <c r="L4" s="16"/>
      <c r="M4" s="16" t="s">
        <v>6</v>
      </c>
      <c r="N4" s="16"/>
      <c r="O4" s="16"/>
      <c r="P4" s="16"/>
      <c r="Q4" s="16"/>
      <c r="R4" s="16"/>
    </row>
    <row r="5" spans="1:18" customFormat="1" x14ac:dyDescent="0.35">
      <c r="A5" s="16"/>
      <c r="B5" s="16"/>
      <c r="C5" s="16"/>
      <c r="D5" s="16"/>
      <c r="E5" s="16"/>
      <c r="F5" s="17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6" spans="1:18" customFormat="1" x14ac:dyDescent="0.35">
      <c r="A6" s="16" t="s">
        <v>7</v>
      </c>
      <c r="B6" s="16"/>
      <c r="C6" s="16"/>
      <c r="D6" s="16"/>
      <c r="E6" s="16"/>
      <c r="F6" s="17"/>
      <c r="G6" s="16" t="s">
        <v>7</v>
      </c>
      <c r="H6" s="16"/>
      <c r="I6" s="16"/>
      <c r="J6" s="16"/>
      <c r="K6" s="16"/>
      <c r="L6" s="16"/>
      <c r="M6" s="16" t="s">
        <v>7</v>
      </c>
      <c r="N6" s="16"/>
      <c r="O6" s="16"/>
      <c r="P6" s="16"/>
      <c r="Q6" s="16"/>
      <c r="R6" s="16"/>
    </row>
    <row r="7" spans="1:18" customFormat="1" x14ac:dyDescent="0.35">
      <c r="A7" s="1" t="s">
        <v>0</v>
      </c>
      <c r="B7" s="1" t="s">
        <v>8</v>
      </c>
      <c r="C7" s="1" t="s">
        <v>9</v>
      </c>
      <c r="D7" s="1" t="s">
        <v>1</v>
      </c>
      <c r="E7" s="1" t="s">
        <v>10</v>
      </c>
      <c r="F7" s="12" t="s">
        <v>2</v>
      </c>
      <c r="G7" s="1" t="s">
        <v>0</v>
      </c>
      <c r="H7" s="1" t="s">
        <v>8</v>
      </c>
      <c r="I7" s="1" t="s">
        <v>9</v>
      </c>
      <c r="J7" s="1" t="s">
        <v>1</v>
      </c>
      <c r="K7" s="1" t="s">
        <v>10</v>
      </c>
      <c r="L7" s="12" t="s">
        <v>2</v>
      </c>
      <c r="M7" s="1" t="s">
        <v>0</v>
      </c>
      <c r="N7" s="1" t="s">
        <v>8</v>
      </c>
      <c r="O7" s="1" t="s">
        <v>9</v>
      </c>
      <c r="P7" s="1" t="s">
        <v>1</v>
      </c>
      <c r="Q7" s="1" t="s">
        <v>10</v>
      </c>
      <c r="R7" s="1" t="s">
        <v>2</v>
      </c>
    </row>
    <row r="8" spans="1:18" x14ac:dyDescent="0.35">
      <c r="A8" s="5">
        <v>1</v>
      </c>
      <c r="B8" s="4" t="s">
        <v>189</v>
      </c>
      <c r="C8" s="4" t="s">
        <v>26</v>
      </c>
      <c r="D8" s="4" t="s">
        <v>123</v>
      </c>
      <c r="G8" s="5">
        <v>1</v>
      </c>
      <c r="H8" s="5" t="s">
        <v>189</v>
      </c>
      <c r="I8" s="4" t="s">
        <v>26</v>
      </c>
      <c r="J8" s="4" t="s">
        <v>123</v>
      </c>
      <c r="M8" s="5">
        <v>1</v>
      </c>
      <c r="N8" s="5" t="s">
        <v>189</v>
      </c>
      <c r="O8" s="4" t="s">
        <v>26</v>
      </c>
      <c r="P8" s="4" t="s">
        <v>123</v>
      </c>
    </row>
    <row r="9" spans="1:18" ht="43.5" x14ac:dyDescent="0.35">
      <c r="A9" s="5">
        <v>2</v>
      </c>
      <c r="B9" s="4" t="s">
        <v>124</v>
      </c>
      <c r="C9" s="4" t="s">
        <v>139</v>
      </c>
      <c r="D9" s="4" t="s">
        <v>125</v>
      </c>
      <c r="G9" s="5">
        <v>2</v>
      </c>
      <c r="H9" s="5" t="s">
        <v>124</v>
      </c>
      <c r="I9" s="4" t="s">
        <v>137</v>
      </c>
      <c r="J9" s="4" t="s">
        <v>138</v>
      </c>
      <c r="M9" s="5">
        <v>2</v>
      </c>
      <c r="N9" s="5" t="s">
        <v>124</v>
      </c>
      <c r="O9" s="4" t="s">
        <v>139</v>
      </c>
      <c r="P9" s="4" t="s">
        <v>125</v>
      </c>
    </row>
    <row r="10" spans="1:18" ht="29" x14ac:dyDescent="0.35">
      <c r="A10" s="5">
        <v>3</v>
      </c>
      <c r="B10" s="4" t="s">
        <v>126</v>
      </c>
      <c r="C10" s="4" t="s">
        <v>140</v>
      </c>
      <c r="D10" s="4" t="s">
        <v>127</v>
      </c>
      <c r="G10" s="5">
        <v>3</v>
      </c>
      <c r="H10" s="5" t="s">
        <v>126</v>
      </c>
      <c r="I10" s="4" t="s">
        <v>141</v>
      </c>
      <c r="J10" s="4" t="s">
        <v>127</v>
      </c>
      <c r="M10" s="5">
        <v>3</v>
      </c>
      <c r="N10" s="5" t="s">
        <v>126</v>
      </c>
      <c r="O10" s="4" t="s">
        <v>140</v>
      </c>
      <c r="P10" s="4" t="s">
        <v>127</v>
      </c>
    </row>
    <row r="11" spans="1:18" ht="43.5" x14ac:dyDescent="0.35">
      <c r="A11" s="5">
        <v>4</v>
      </c>
      <c r="B11" s="4" t="s">
        <v>128</v>
      </c>
      <c r="C11" s="4" t="s">
        <v>129</v>
      </c>
      <c r="D11" s="4" t="s">
        <v>130</v>
      </c>
      <c r="G11" s="5">
        <v>4</v>
      </c>
      <c r="H11" s="5" t="s">
        <v>188</v>
      </c>
      <c r="I11" s="4" t="s">
        <v>129</v>
      </c>
      <c r="J11" s="4" t="s">
        <v>142</v>
      </c>
      <c r="M11" s="5">
        <v>4</v>
      </c>
      <c r="N11" s="5" t="s">
        <v>128</v>
      </c>
      <c r="O11" s="4" t="s">
        <v>149</v>
      </c>
      <c r="P11" s="4" t="s">
        <v>130</v>
      </c>
    </row>
    <row r="12" spans="1:18" ht="43.5" x14ac:dyDescent="0.35">
      <c r="A12" s="5">
        <v>5</v>
      </c>
      <c r="B12" s="4" t="s">
        <v>132</v>
      </c>
      <c r="C12" s="4" t="s">
        <v>133</v>
      </c>
      <c r="D12" s="4" t="s">
        <v>135</v>
      </c>
      <c r="M12" s="5">
        <v>5</v>
      </c>
      <c r="N12" s="5" t="s">
        <v>143</v>
      </c>
      <c r="O12" s="4" t="s">
        <v>144</v>
      </c>
      <c r="P12" s="4" t="s">
        <v>146</v>
      </c>
    </row>
    <row r="13" spans="1:18" ht="29" x14ac:dyDescent="0.35">
      <c r="A13" s="5">
        <v>6</v>
      </c>
      <c r="B13" s="4" t="s">
        <v>134</v>
      </c>
      <c r="C13" s="4" t="s">
        <v>131</v>
      </c>
      <c r="D13" s="4" t="s">
        <v>136</v>
      </c>
      <c r="M13" s="5">
        <v>6</v>
      </c>
      <c r="N13" s="5" t="s">
        <v>145</v>
      </c>
      <c r="O13" s="4" t="s">
        <v>144</v>
      </c>
      <c r="P13" s="4" t="s">
        <v>147</v>
      </c>
    </row>
    <row r="14" spans="1:18" x14ac:dyDescent="0.35">
      <c r="M14">
        <v>7</v>
      </c>
      <c r="N14" t="s">
        <v>106</v>
      </c>
      <c r="O14" t="s">
        <v>110</v>
      </c>
      <c r="P14" t="s">
        <v>148</v>
      </c>
    </row>
    <row r="15" spans="1:18" ht="29" x14ac:dyDescent="0.35">
      <c r="M15" s="5">
        <v>8</v>
      </c>
      <c r="N15" s="5" t="s">
        <v>150</v>
      </c>
      <c r="O15" s="5" t="s">
        <v>144</v>
      </c>
      <c r="P15" s="4" t="s">
        <v>147</v>
      </c>
    </row>
    <row r="16" spans="1:18" x14ac:dyDescent="0.35">
      <c r="M16">
        <v>9</v>
      </c>
      <c r="N16" t="s">
        <v>106</v>
      </c>
      <c r="O16" t="s">
        <v>122</v>
      </c>
      <c r="P16" t="s">
        <v>151</v>
      </c>
    </row>
    <row r="17" spans="13:16" ht="29" x14ac:dyDescent="0.35">
      <c r="M17">
        <v>10</v>
      </c>
      <c r="N17" s="5" t="s">
        <v>152</v>
      </c>
      <c r="O17" s="5" t="s">
        <v>144</v>
      </c>
      <c r="P17" s="4" t="s">
        <v>147</v>
      </c>
    </row>
    <row r="18" spans="13:16" x14ac:dyDescent="0.35">
      <c r="M18" s="5">
        <v>11</v>
      </c>
      <c r="N18" t="s">
        <v>106</v>
      </c>
      <c r="O18" t="s">
        <v>108</v>
      </c>
      <c r="P18" t="s">
        <v>155</v>
      </c>
    </row>
    <row r="19" spans="13:16" x14ac:dyDescent="0.35">
      <c r="M19">
        <v>12</v>
      </c>
      <c r="N19" t="s">
        <v>111</v>
      </c>
      <c r="O19" t="s">
        <v>144</v>
      </c>
      <c r="P19" t="s">
        <v>109</v>
      </c>
    </row>
    <row r="20" spans="13:16" x14ac:dyDescent="0.35">
      <c r="M20" s="5">
        <v>13</v>
      </c>
      <c r="N20" t="s">
        <v>106</v>
      </c>
      <c r="O20" t="s">
        <v>108</v>
      </c>
      <c r="P20" t="s">
        <v>155</v>
      </c>
    </row>
    <row r="21" spans="13:16" x14ac:dyDescent="0.35">
      <c r="M21">
        <v>14</v>
      </c>
      <c r="N21" t="s">
        <v>112</v>
      </c>
      <c r="O21" t="s">
        <v>113</v>
      </c>
      <c r="P21" t="s">
        <v>156</v>
      </c>
    </row>
  </sheetData>
  <mergeCells count="15">
    <mergeCell ref="A4:F5"/>
    <mergeCell ref="A6:F6"/>
    <mergeCell ref="A1:F1"/>
    <mergeCell ref="A3:B3"/>
    <mergeCell ref="A2:B2"/>
    <mergeCell ref="M1:R1"/>
    <mergeCell ref="M2:N2"/>
    <mergeCell ref="M3:N3"/>
    <mergeCell ref="G4:L5"/>
    <mergeCell ref="G6:L6"/>
    <mergeCell ref="M4:R5"/>
    <mergeCell ref="M6:R6"/>
    <mergeCell ref="G2:H2"/>
    <mergeCell ref="G3:H3"/>
    <mergeCell ref="G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60B4E-CDD0-4CEE-BA63-4F898D2F5023}">
  <dimension ref="A1:R25"/>
  <sheetViews>
    <sheetView workbookViewId="0">
      <selection activeCell="G1" activeCellId="2" sqref="G6:L6 G4:L5 G1:L1"/>
    </sheetView>
  </sheetViews>
  <sheetFormatPr defaultRowHeight="14.5" x14ac:dyDescent="0.35"/>
  <cols>
    <col min="1" max="1" width="5" customWidth="1"/>
    <col min="2" max="2" width="22.1796875" bestFit="1" customWidth="1"/>
    <col min="3" max="3" width="11.54296875" bestFit="1" customWidth="1"/>
    <col min="4" max="4" width="31.1796875" bestFit="1" customWidth="1"/>
    <col min="5" max="5" width="18.453125" bestFit="1" customWidth="1"/>
    <col min="6" max="6" width="16.1796875" style="9" bestFit="1" customWidth="1"/>
    <col min="7" max="7" width="5" bestFit="1" customWidth="1"/>
    <col min="8" max="8" width="30.453125" customWidth="1"/>
    <col min="9" max="9" width="27.54296875" bestFit="1" customWidth="1"/>
    <col min="10" max="10" width="30.26953125" customWidth="1"/>
    <col min="11" max="11" width="18.453125" bestFit="1" customWidth="1"/>
    <col min="12" max="12" width="16.1796875" style="9" bestFit="1" customWidth="1"/>
    <col min="13" max="13" width="5" bestFit="1" customWidth="1"/>
    <col min="14" max="14" width="35.453125" bestFit="1" customWidth="1"/>
    <col min="15" max="15" width="20.54296875" customWidth="1"/>
    <col min="16" max="16" width="31.1796875" bestFit="1" customWidth="1"/>
    <col min="17" max="17" width="18.453125" bestFit="1" customWidth="1"/>
    <col min="18" max="18" width="16.1796875" bestFit="1" customWidth="1"/>
  </cols>
  <sheetData>
    <row r="1" spans="1:18" x14ac:dyDescent="0.35">
      <c r="A1" s="16" t="s">
        <v>16</v>
      </c>
      <c r="B1" s="16"/>
      <c r="C1" s="16"/>
      <c r="D1" s="16"/>
      <c r="E1" s="16"/>
      <c r="F1" s="17"/>
      <c r="G1" s="18" t="s">
        <v>17</v>
      </c>
      <c r="H1" s="16"/>
      <c r="I1" s="16"/>
      <c r="J1" s="16"/>
      <c r="K1" s="16"/>
      <c r="L1" s="17"/>
      <c r="M1" s="16" t="s">
        <v>115</v>
      </c>
      <c r="N1" s="16"/>
      <c r="O1" s="16"/>
      <c r="P1" s="16"/>
      <c r="Q1" s="16"/>
      <c r="R1" s="16"/>
    </row>
    <row r="2" spans="1:18" x14ac:dyDescent="0.35">
      <c r="A2" s="16" t="s">
        <v>3</v>
      </c>
      <c r="B2" s="16"/>
      <c r="C2" s="8">
        <f>IFERROR(_xlfn.XLOOKUP(A1, TestMaster[Test Name], TestMaster[Test ID], "ID not found"), "")</f>
        <v>5</v>
      </c>
      <c r="E2" t="s">
        <v>4</v>
      </c>
      <c r="G2" s="16" t="s">
        <v>3</v>
      </c>
      <c r="H2" s="16"/>
      <c r="I2" s="8">
        <f>IFERROR(_xlfn.XLOOKUP(G1, TestMaster[Test Name], TestMaster[Test ID], "ID not found"), "")</f>
        <v>6</v>
      </c>
      <c r="K2" t="s">
        <v>4</v>
      </c>
      <c r="M2" s="16" t="s">
        <v>3</v>
      </c>
      <c r="N2" s="16"/>
      <c r="O2" s="14">
        <f>IFERROR(_xlfn.XLOOKUP(M1, TestMaster[Test Name], TestMaster[Test ID], "ID not found"), "")</f>
        <v>7</v>
      </c>
      <c r="Q2" t="s">
        <v>4</v>
      </c>
    </row>
    <row r="3" spans="1:18" x14ac:dyDescent="0.35">
      <c r="A3" s="16" t="s">
        <v>186</v>
      </c>
      <c r="B3" s="16"/>
      <c r="C3" s="8" t="str">
        <f>IFERROR(_xlfn.XLOOKUP(A1, TestMaster[Test Name], TestMaster[Test Priority], "Priority not found"), "")</f>
        <v>Medium</v>
      </c>
      <c r="E3" t="s">
        <v>5</v>
      </c>
      <c r="F3" s="9" t="str">
        <f>IFERROR(_xlfn.XLOOKUP(A1, TestMaster[Test Name], TestMaster[Test Status], "Status not found"), "")</f>
        <v>Not Implemented</v>
      </c>
      <c r="G3" s="16" t="s">
        <v>186</v>
      </c>
      <c r="H3" s="16"/>
      <c r="I3" s="8" t="str">
        <f>IFERROR(_xlfn.XLOOKUP(G1, TestMaster[Test Name], TestMaster[Test Priority], "Priority not found"), "")</f>
        <v>Medium</v>
      </c>
      <c r="K3" t="s">
        <v>5</v>
      </c>
      <c r="L3" s="9" t="str">
        <f>IFERROR(_xlfn.XLOOKUP(G1, TestMaster[Test Name], TestMaster[Test Status], "Status not found"), "")</f>
        <v>Not Implemented</v>
      </c>
      <c r="M3" s="16" t="s">
        <v>186</v>
      </c>
      <c r="N3" s="16"/>
      <c r="O3" s="14" t="str">
        <f>IFERROR(_xlfn.XLOOKUP(M1, TestMaster[Test Name], TestMaster[Test Priority], "Priority not found"), "")</f>
        <v>Low</v>
      </c>
      <c r="Q3" t="s">
        <v>5</v>
      </c>
      <c r="R3" t="str">
        <f>IFERROR(_xlfn.XLOOKUP(M1, TestMaster[Test Name], TestMaster[Test Status], "Status not found"), "")</f>
        <v>Not Implemented</v>
      </c>
    </row>
    <row r="4" spans="1:18" x14ac:dyDescent="0.35">
      <c r="A4" s="16" t="s">
        <v>6</v>
      </c>
      <c r="B4" s="16"/>
      <c r="C4" s="16"/>
      <c r="D4" s="16"/>
      <c r="E4" s="16"/>
      <c r="F4" s="17"/>
      <c r="G4" s="18" t="s">
        <v>6</v>
      </c>
      <c r="H4" s="16"/>
      <c r="I4" s="16"/>
      <c r="J4" s="16"/>
      <c r="K4" s="16"/>
      <c r="L4" s="17"/>
      <c r="M4" s="16" t="s">
        <v>6</v>
      </c>
      <c r="N4" s="16"/>
      <c r="O4" s="16"/>
      <c r="P4" s="16"/>
      <c r="Q4" s="16"/>
      <c r="R4" s="16"/>
    </row>
    <row r="5" spans="1:18" x14ac:dyDescent="0.35">
      <c r="A5" s="16"/>
      <c r="B5" s="16"/>
      <c r="C5" s="16"/>
      <c r="D5" s="16"/>
      <c r="E5" s="16"/>
      <c r="F5" s="17"/>
      <c r="G5" s="18"/>
      <c r="H5" s="16"/>
      <c r="I5" s="16"/>
      <c r="J5" s="16"/>
      <c r="K5" s="16"/>
      <c r="L5" s="17"/>
      <c r="M5" s="16"/>
      <c r="N5" s="16"/>
      <c r="O5" s="16"/>
      <c r="P5" s="16"/>
      <c r="Q5" s="16"/>
      <c r="R5" s="16"/>
    </row>
    <row r="6" spans="1:18" x14ac:dyDescent="0.35">
      <c r="A6" s="16" t="s">
        <v>7</v>
      </c>
      <c r="B6" s="16"/>
      <c r="C6" s="16"/>
      <c r="D6" s="16"/>
      <c r="E6" s="16"/>
      <c r="F6" s="17"/>
      <c r="G6" s="18" t="s">
        <v>7</v>
      </c>
      <c r="H6" s="16"/>
      <c r="I6" s="16"/>
      <c r="J6" s="16"/>
      <c r="K6" s="16"/>
      <c r="L6" s="17"/>
      <c r="M6" s="16" t="s">
        <v>7</v>
      </c>
      <c r="N6" s="16"/>
      <c r="O6" s="16"/>
      <c r="P6" s="16"/>
      <c r="Q6" s="16"/>
      <c r="R6" s="16"/>
    </row>
    <row r="7" spans="1:18" x14ac:dyDescent="0.35">
      <c r="A7" s="1" t="s">
        <v>0</v>
      </c>
      <c r="B7" s="1" t="s">
        <v>8</v>
      </c>
      <c r="C7" s="1" t="s">
        <v>9</v>
      </c>
      <c r="D7" s="1" t="s">
        <v>1</v>
      </c>
      <c r="E7" s="1" t="s">
        <v>10</v>
      </c>
      <c r="F7" s="12" t="s">
        <v>2</v>
      </c>
      <c r="G7" s="1" t="s">
        <v>0</v>
      </c>
      <c r="H7" s="1" t="s">
        <v>8</v>
      </c>
      <c r="I7" s="1" t="s">
        <v>9</v>
      </c>
      <c r="J7" s="1" t="s">
        <v>1</v>
      </c>
      <c r="K7" s="1" t="s">
        <v>10</v>
      </c>
      <c r="L7" s="12" t="s">
        <v>2</v>
      </c>
      <c r="M7" s="1" t="s">
        <v>0</v>
      </c>
      <c r="N7" s="1" t="s">
        <v>8</v>
      </c>
      <c r="O7" s="1" t="s">
        <v>9</v>
      </c>
      <c r="P7" s="1" t="s">
        <v>1</v>
      </c>
      <c r="Q7" s="1" t="s">
        <v>10</v>
      </c>
      <c r="R7" s="1" t="s">
        <v>2</v>
      </c>
    </row>
    <row r="8" spans="1:18" x14ac:dyDescent="0.35">
      <c r="A8" s="5">
        <v>1</v>
      </c>
      <c r="B8" s="5" t="s">
        <v>87</v>
      </c>
      <c r="C8" s="5" t="s">
        <v>26</v>
      </c>
      <c r="D8" s="5" t="s">
        <v>73</v>
      </c>
      <c r="G8">
        <v>1</v>
      </c>
      <c r="H8" s="5" t="s">
        <v>87</v>
      </c>
      <c r="I8" s="5" t="s">
        <v>26</v>
      </c>
      <c r="J8" s="5" t="s">
        <v>76</v>
      </c>
      <c r="M8">
        <v>1</v>
      </c>
      <c r="N8" s="5" t="s">
        <v>87</v>
      </c>
      <c r="O8" s="5" t="s">
        <v>26</v>
      </c>
      <c r="P8" s="5" t="s">
        <v>76</v>
      </c>
    </row>
    <row r="9" spans="1:18" ht="43.5" x14ac:dyDescent="0.35">
      <c r="A9" s="5">
        <v>2</v>
      </c>
      <c r="B9" s="5" t="s">
        <v>55</v>
      </c>
      <c r="C9" s="5" t="s">
        <v>26</v>
      </c>
      <c r="D9" s="5" t="s">
        <v>39</v>
      </c>
      <c r="G9">
        <v>2</v>
      </c>
      <c r="H9" s="4" t="s">
        <v>74</v>
      </c>
      <c r="I9" s="4" t="s">
        <v>77</v>
      </c>
      <c r="J9" s="4" t="s">
        <v>79</v>
      </c>
      <c r="M9">
        <v>2</v>
      </c>
      <c r="N9" s="4" t="s">
        <v>74</v>
      </c>
      <c r="O9" s="4" t="s">
        <v>77</v>
      </c>
      <c r="P9" s="4" t="s">
        <v>79</v>
      </c>
    </row>
    <row r="10" spans="1:18" ht="29" x14ac:dyDescent="0.35">
      <c r="G10">
        <v>3</v>
      </c>
      <c r="H10" s="4" t="s">
        <v>116</v>
      </c>
      <c r="I10" s="4" t="s">
        <v>99</v>
      </c>
      <c r="J10" s="4" t="s">
        <v>104</v>
      </c>
      <c r="M10">
        <v>3</v>
      </c>
      <c r="N10" s="4" t="s">
        <v>119</v>
      </c>
      <c r="O10" s="4" t="s">
        <v>99</v>
      </c>
      <c r="P10" s="4" t="s">
        <v>104</v>
      </c>
    </row>
    <row r="11" spans="1:18" x14ac:dyDescent="0.35">
      <c r="G11">
        <v>4</v>
      </c>
      <c r="H11" t="s">
        <v>88</v>
      </c>
      <c r="I11" t="s">
        <v>91</v>
      </c>
      <c r="J11" t="s">
        <v>90</v>
      </c>
      <c r="M11">
        <v>4</v>
      </c>
      <c r="N11" t="s">
        <v>120</v>
      </c>
      <c r="O11" t="s">
        <v>89</v>
      </c>
      <c r="P11" t="s">
        <v>90</v>
      </c>
    </row>
    <row r="12" spans="1:18" x14ac:dyDescent="0.35">
      <c r="G12">
        <v>5</v>
      </c>
      <c r="H12" t="s">
        <v>93</v>
      </c>
      <c r="I12" t="s">
        <v>95</v>
      </c>
      <c r="J12" t="s">
        <v>97</v>
      </c>
      <c r="M12">
        <v>5</v>
      </c>
      <c r="N12" t="s">
        <v>117</v>
      </c>
      <c r="O12" t="s">
        <v>95</v>
      </c>
      <c r="P12" t="s">
        <v>92</v>
      </c>
    </row>
    <row r="13" spans="1:18" x14ac:dyDescent="0.35">
      <c r="G13">
        <v>6</v>
      </c>
      <c r="H13" t="s">
        <v>94</v>
      </c>
      <c r="I13" t="s">
        <v>96</v>
      </c>
      <c r="J13" t="s">
        <v>98</v>
      </c>
      <c r="M13">
        <v>6</v>
      </c>
      <c r="N13" t="s">
        <v>106</v>
      </c>
      <c r="O13" t="s">
        <v>110</v>
      </c>
      <c r="P13" t="s">
        <v>154</v>
      </c>
    </row>
    <row r="14" spans="1:18" x14ac:dyDescent="0.35">
      <c r="G14">
        <v>7</v>
      </c>
      <c r="H14" t="s">
        <v>100</v>
      </c>
      <c r="M14">
        <v>8</v>
      </c>
      <c r="N14" t="s">
        <v>118</v>
      </c>
      <c r="O14" t="s">
        <v>89</v>
      </c>
      <c r="P14" t="s">
        <v>90</v>
      </c>
    </row>
    <row r="15" spans="1:18" x14ac:dyDescent="0.35">
      <c r="G15">
        <v>8</v>
      </c>
      <c r="H15" t="s">
        <v>88</v>
      </c>
      <c r="I15" t="s">
        <v>91</v>
      </c>
      <c r="J15" t="s">
        <v>90</v>
      </c>
      <c r="M15">
        <v>9</v>
      </c>
      <c r="N15" t="s">
        <v>121</v>
      </c>
      <c r="O15" t="s">
        <v>95</v>
      </c>
      <c r="P15" t="s">
        <v>92</v>
      </c>
    </row>
    <row r="16" spans="1:18" x14ac:dyDescent="0.35">
      <c r="G16">
        <v>9</v>
      </c>
      <c r="H16" t="s">
        <v>93</v>
      </c>
      <c r="I16" t="s">
        <v>95</v>
      </c>
      <c r="J16" t="s">
        <v>97</v>
      </c>
      <c r="M16">
        <v>10</v>
      </c>
      <c r="N16" t="s">
        <v>106</v>
      </c>
      <c r="O16" t="s">
        <v>122</v>
      </c>
      <c r="P16" t="s">
        <v>153</v>
      </c>
    </row>
    <row r="17" spans="7:10" x14ac:dyDescent="0.35">
      <c r="G17">
        <v>10</v>
      </c>
      <c r="H17" t="s">
        <v>94</v>
      </c>
      <c r="I17" t="s">
        <v>96</v>
      </c>
      <c r="J17" t="s">
        <v>98</v>
      </c>
    </row>
    <row r="18" spans="7:10" x14ac:dyDescent="0.35">
      <c r="G18">
        <v>11</v>
      </c>
      <c r="H18" t="s">
        <v>101</v>
      </c>
      <c r="I18" t="s">
        <v>102</v>
      </c>
      <c r="J18" t="s">
        <v>103</v>
      </c>
    </row>
    <row r="19" spans="7:10" x14ac:dyDescent="0.35">
      <c r="G19">
        <v>12</v>
      </c>
      <c r="H19" t="s">
        <v>88</v>
      </c>
      <c r="I19" t="s">
        <v>89</v>
      </c>
      <c r="J19" t="s">
        <v>90</v>
      </c>
    </row>
    <row r="20" spans="7:10" x14ac:dyDescent="0.35">
      <c r="G20">
        <v>13</v>
      </c>
      <c r="H20" t="s">
        <v>105</v>
      </c>
      <c r="I20" t="s">
        <v>95</v>
      </c>
      <c r="J20" t="s">
        <v>92</v>
      </c>
    </row>
    <row r="21" spans="7:10" x14ac:dyDescent="0.35">
      <c r="G21">
        <v>14</v>
      </c>
      <c r="H21" t="s">
        <v>106</v>
      </c>
      <c r="I21" t="s">
        <v>108</v>
      </c>
      <c r="J21" t="s">
        <v>107</v>
      </c>
    </row>
    <row r="22" spans="7:10" x14ac:dyDescent="0.35">
      <c r="G22">
        <v>15</v>
      </c>
      <c r="H22" t="s">
        <v>111</v>
      </c>
      <c r="I22" t="s">
        <v>95</v>
      </c>
      <c r="J22" t="s">
        <v>109</v>
      </c>
    </row>
    <row r="23" spans="7:10" x14ac:dyDescent="0.35">
      <c r="G23">
        <v>16</v>
      </c>
      <c r="H23" t="s">
        <v>106</v>
      </c>
      <c r="I23" t="s">
        <v>108</v>
      </c>
      <c r="J23" t="s">
        <v>107</v>
      </c>
    </row>
    <row r="24" spans="7:10" x14ac:dyDescent="0.35">
      <c r="G24">
        <v>17</v>
      </c>
      <c r="H24" t="s">
        <v>112</v>
      </c>
      <c r="I24" t="s">
        <v>113</v>
      </c>
      <c r="J24" t="s">
        <v>114</v>
      </c>
    </row>
    <row r="25" spans="7:10" x14ac:dyDescent="0.35">
      <c r="G25">
        <v>18</v>
      </c>
      <c r="H25" t="s">
        <v>101</v>
      </c>
      <c r="I25" t="s">
        <v>102</v>
      </c>
      <c r="J25" t="s">
        <v>39</v>
      </c>
    </row>
  </sheetData>
  <mergeCells count="15">
    <mergeCell ref="A4:F5"/>
    <mergeCell ref="A6:F6"/>
    <mergeCell ref="A1:F1"/>
    <mergeCell ref="A2:B2"/>
    <mergeCell ref="A3:B3"/>
    <mergeCell ref="M1:R1"/>
    <mergeCell ref="M2:N2"/>
    <mergeCell ref="M3:N3"/>
    <mergeCell ref="G4:L5"/>
    <mergeCell ref="G6:L6"/>
    <mergeCell ref="M4:R5"/>
    <mergeCell ref="M6:R6"/>
    <mergeCell ref="G2:H2"/>
    <mergeCell ref="G3:H3"/>
    <mergeCell ref="G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F26CA-73F7-4CFD-B892-FF534C61ED87}">
  <dimension ref="A1:R11"/>
  <sheetViews>
    <sheetView workbookViewId="0">
      <selection activeCell="J19" sqref="J19"/>
    </sheetView>
  </sheetViews>
  <sheetFormatPr defaultRowHeight="14.5" x14ac:dyDescent="0.35"/>
  <cols>
    <col min="1" max="1" width="5" bestFit="1" customWidth="1"/>
    <col min="2" max="2" width="21.81640625" bestFit="1" customWidth="1"/>
    <col min="3" max="3" width="11.54296875" bestFit="1" customWidth="1"/>
    <col min="4" max="4" width="31.1796875" bestFit="1" customWidth="1"/>
    <col min="5" max="5" width="18.453125" bestFit="1" customWidth="1"/>
    <col min="6" max="6" width="16.1796875" style="9" bestFit="1" customWidth="1"/>
    <col min="7" max="7" width="5" bestFit="1" customWidth="1"/>
    <col min="8" max="8" width="22.453125" bestFit="1" customWidth="1"/>
    <col min="9" max="9" width="19.7265625" bestFit="1" customWidth="1"/>
    <col min="10" max="10" width="28.54296875" customWidth="1"/>
    <col min="11" max="11" width="18.453125" bestFit="1" customWidth="1"/>
    <col min="12" max="12" width="16.1796875" style="9" bestFit="1" customWidth="1"/>
    <col min="13" max="13" width="5" bestFit="1" customWidth="1"/>
    <col min="14" max="14" width="22.453125" bestFit="1" customWidth="1"/>
    <col min="15" max="15" width="22.81640625" bestFit="1" customWidth="1"/>
    <col min="16" max="16" width="32.453125" customWidth="1"/>
    <col min="17" max="17" width="18.453125" bestFit="1" customWidth="1"/>
    <col min="18" max="18" width="16.1796875" bestFit="1" customWidth="1"/>
  </cols>
  <sheetData>
    <row r="1" spans="1:18" x14ac:dyDescent="0.35">
      <c r="A1" s="16" t="s">
        <v>18</v>
      </c>
      <c r="B1" s="16"/>
      <c r="C1" s="16"/>
      <c r="D1" s="16"/>
      <c r="E1" s="16"/>
      <c r="F1" s="17"/>
      <c r="G1" s="18" t="s">
        <v>19</v>
      </c>
      <c r="H1" s="16"/>
      <c r="I1" s="16"/>
      <c r="J1" s="16"/>
      <c r="K1" s="16"/>
      <c r="L1" s="17"/>
      <c r="M1" s="16" t="s">
        <v>20</v>
      </c>
      <c r="N1" s="16"/>
      <c r="O1" s="16"/>
      <c r="P1" s="16"/>
      <c r="Q1" s="16"/>
      <c r="R1" s="16"/>
    </row>
    <row r="2" spans="1:18" x14ac:dyDescent="0.35">
      <c r="A2" s="16" t="s">
        <v>3</v>
      </c>
      <c r="B2" s="16"/>
      <c r="C2" s="8">
        <f>IFERROR(_xlfn.XLOOKUP(A1, TestMaster[Test Name], TestMaster[Test ID], "ID not found"), "")</f>
        <v>8</v>
      </c>
      <c r="E2" t="s">
        <v>4</v>
      </c>
      <c r="G2" s="16" t="s">
        <v>3</v>
      </c>
      <c r="H2" s="16"/>
      <c r="I2" s="8">
        <f>IFERROR(_xlfn.XLOOKUP(G1, TestMaster[Test Name], TestMaster[Test ID], "ID not found"), "")</f>
        <v>9</v>
      </c>
      <c r="K2" t="s">
        <v>4</v>
      </c>
      <c r="M2" s="16" t="s">
        <v>3</v>
      </c>
      <c r="N2" s="16"/>
      <c r="O2" s="8">
        <f>IFERROR(_xlfn.XLOOKUP(M1, TestMaster[Test Name], TestMaster[Test ID], "ID not found"), "")</f>
        <v>10</v>
      </c>
      <c r="Q2" t="s">
        <v>4</v>
      </c>
    </row>
    <row r="3" spans="1:18" x14ac:dyDescent="0.35">
      <c r="A3" s="16" t="s">
        <v>186</v>
      </c>
      <c r="B3" s="16"/>
      <c r="C3" s="8" t="str">
        <f>IFERROR(_xlfn.XLOOKUP(A1, TestMaster[Test Name], TestMaster[Test Priority], "Priority not found"), "")</f>
        <v>Medium</v>
      </c>
      <c r="E3" t="s">
        <v>5</v>
      </c>
      <c r="F3" s="9" t="str">
        <f>IFERROR(_xlfn.XLOOKUP(A1, TestMaster[Test Name], TestMaster[Test Status], "Status not found"), "")</f>
        <v>Not Implemented</v>
      </c>
      <c r="G3" s="16" t="s">
        <v>186</v>
      </c>
      <c r="H3" s="16"/>
      <c r="I3" s="8" t="str">
        <f>IFERROR(_xlfn.XLOOKUP(G1, TestMaster[Test Name], TestMaster[Test Priority], "Priority not found"), "")</f>
        <v>Medium</v>
      </c>
      <c r="K3" t="s">
        <v>5</v>
      </c>
      <c r="L3" s="9" t="str">
        <f>IFERROR(_xlfn.XLOOKUP(G1, TestMaster[Test Name], TestMaster[Test Status], "Status not found"), "")</f>
        <v>Not Implemented</v>
      </c>
      <c r="M3" s="16" t="s">
        <v>186</v>
      </c>
      <c r="N3" s="16"/>
      <c r="O3" s="8" t="str">
        <f>IFERROR(_xlfn.XLOOKUP(M1, TestMaster[Test Name], TestMaster[Test Priority], "Priority not found"), "")</f>
        <v>Low</v>
      </c>
      <c r="Q3" t="s">
        <v>5</v>
      </c>
      <c r="R3" t="str">
        <f>IFERROR(_xlfn.XLOOKUP(M1, TestMaster[Test Name], TestMaster[Test Status], "Status not found"), "")</f>
        <v>Not Implemented</v>
      </c>
    </row>
    <row r="4" spans="1:18" x14ac:dyDescent="0.35">
      <c r="A4" s="20" t="s">
        <v>70</v>
      </c>
      <c r="B4" s="20"/>
      <c r="C4" s="20"/>
      <c r="D4" s="20"/>
      <c r="E4" s="20"/>
      <c r="F4" s="21"/>
      <c r="G4" s="19" t="s">
        <v>6</v>
      </c>
      <c r="H4" s="20"/>
      <c r="I4" s="20"/>
      <c r="J4" s="20"/>
      <c r="K4" s="20"/>
      <c r="L4" s="21"/>
      <c r="M4" s="20" t="s">
        <v>6</v>
      </c>
      <c r="N4" s="20"/>
      <c r="O4" s="20"/>
      <c r="P4" s="20"/>
      <c r="Q4" s="20"/>
      <c r="R4" s="20"/>
    </row>
    <row r="5" spans="1:18" x14ac:dyDescent="0.35">
      <c r="A5" s="20"/>
      <c r="B5" s="20"/>
      <c r="C5" s="20"/>
      <c r="D5" s="20"/>
      <c r="E5" s="20"/>
      <c r="F5" s="21"/>
      <c r="G5" s="19"/>
      <c r="H5" s="20"/>
      <c r="I5" s="20"/>
      <c r="J5" s="20"/>
      <c r="K5" s="20"/>
      <c r="L5" s="21"/>
      <c r="M5" s="20"/>
      <c r="N5" s="20"/>
      <c r="O5" s="20"/>
      <c r="P5" s="20"/>
      <c r="Q5" s="20"/>
      <c r="R5" s="20"/>
    </row>
    <row r="6" spans="1:18" x14ac:dyDescent="0.35">
      <c r="A6" s="16" t="s">
        <v>71</v>
      </c>
      <c r="B6" s="16"/>
      <c r="C6" s="16"/>
      <c r="D6" s="16"/>
      <c r="E6" s="16"/>
      <c r="F6" s="17"/>
      <c r="G6" s="18" t="s">
        <v>7</v>
      </c>
      <c r="H6" s="16"/>
      <c r="I6" s="16"/>
      <c r="J6" s="16"/>
      <c r="K6" s="16"/>
      <c r="L6" s="17"/>
      <c r="M6" s="16" t="s">
        <v>7</v>
      </c>
      <c r="N6" s="16"/>
      <c r="O6" s="16"/>
      <c r="P6" s="16"/>
      <c r="Q6" s="16"/>
      <c r="R6" s="16"/>
    </row>
    <row r="7" spans="1:18" x14ac:dyDescent="0.35">
      <c r="A7" s="1" t="s">
        <v>0</v>
      </c>
      <c r="B7" s="1" t="s">
        <v>8</v>
      </c>
      <c r="C7" s="1" t="s">
        <v>9</v>
      </c>
      <c r="D7" s="1" t="s">
        <v>1</v>
      </c>
      <c r="E7" s="1" t="s">
        <v>10</v>
      </c>
      <c r="F7" s="12" t="s">
        <v>2</v>
      </c>
      <c r="G7" s="1" t="s">
        <v>0</v>
      </c>
      <c r="H7" s="1" t="s">
        <v>8</v>
      </c>
      <c r="I7" s="1" t="s">
        <v>9</v>
      </c>
      <c r="J7" s="1" t="s">
        <v>1</v>
      </c>
      <c r="K7" s="1" t="s">
        <v>10</v>
      </c>
      <c r="L7" s="12" t="s">
        <v>2</v>
      </c>
      <c r="M7" s="1" t="s">
        <v>0</v>
      </c>
      <c r="N7" s="1" t="s">
        <v>8</v>
      </c>
      <c r="O7" s="1" t="s">
        <v>9</v>
      </c>
      <c r="P7" s="1" t="s">
        <v>1</v>
      </c>
      <c r="Q7" s="1" t="s">
        <v>10</v>
      </c>
      <c r="R7" s="1" t="s">
        <v>2</v>
      </c>
    </row>
    <row r="8" spans="1:18" s="4" customFormat="1" x14ac:dyDescent="0.35">
      <c r="A8" s="4">
        <v>1</v>
      </c>
      <c r="B8" s="4" t="s">
        <v>72</v>
      </c>
      <c r="C8" s="4" t="s">
        <v>26</v>
      </c>
      <c r="D8" s="4" t="s">
        <v>73</v>
      </c>
      <c r="F8" s="15"/>
      <c r="G8" s="4">
        <v>1</v>
      </c>
      <c r="H8" s="4" t="s">
        <v>72</v>
      </c>
      <c r="I8" s="4" t="s">
        <v>26</v>
      </c>
      <c r="J8" s="4" t="s">
        <v>76</v>
      </c>
      <c r="L8" s="15"/>
      <c r="M8" s="4">
        <v>1</v>
      </c>
      <c r="N8" s="4" t="s">
        <v>72</v>
      </c>
      <c r="O8" s="4" t="s">
        <v>26</v>
      </c>
      <c r="P8" s="4" t="s">
        <v>76</v>
      </c>
    </row>
    <row r="9" spans="1:18" s="4" customFormat="1" ht="43.5" x14ac:dyDescent="0.35">
      <c r="A9" s="4">
        <v>2</v>
      </c>
      <c r="B9" s="4" t="s">
        <v>55</v>
      </c>
      <c r="C9" s="4" t="s">
        <v>26</v>
      </c>
      <c r="D9" s="4" t="s">
        <v>39</v>
      </c>
      <c r="F9" s="15"/>
      <c r="G9" s="4">
        <v>2</v>
      </c>
      <c r="H9" s="4" t="s">
        <v>74</v>
      </c>
      <c r="I9" s="4" t="s">
        <v>77</v>
      </c>
      <c r="J9" s="4" t="s">
        <v>79</v>
      </c>
      <c r="L9" s="15"/>
      <c r="M9" s="4">
        <v>2</v>
      </c>
      <c r="N9" s="4" t="s">
        <v>74</v>
      </c>
      <c r="O9" s="4" t="s">
        <v>81</v>
      </c>
      <c r="P9" s="4" t="s">
        <v>80</v>
      </c>
    </row>
    <row r="10" spans="1:18" s="4" customFormat="1" ht="29" x14ac:dyDescent="0.35">
      <c r="F10" s="15"/>
      <c r="G10" s="4">
        <v>3</v>
      </c>
      <c r="H10" s="4" t="s">
        <v>75</v>
      </c>
      <c r="I10" s="4" t="s">
        <v>78</v>
      </c>
      <c r="J10" s="4" t="s">
        <v>86</v>
      </c>
      <c r="L10" s="15"/>
      <c r="M10" s="4">
        <v>3</v>
      </c>
      <c r="N10" s="4" t="s">
        <v>75</v>
      </c>
      <c r="O10" s="4" t="s">
        <v>78</v>
      </c>
      <c r="P10" s="4" t="s">
        <v>82</v>
      </c>
    </row>
    <row r="11" spans="1:18" ht="29" x14ac:dyDescent="0.35">
      <c r="M11" s="4">
        <v>4</v>
      </c>
      <c r="N11" s="4" t="s">
        <v>83</v>
      </c>
      <c r="O11" s="4" t="s">
        <v>84</v>
      </c>
      <c r="P11" s="4" t="s">
        <v>85</v>
      </c>
    </row>
  </sheetData>
  <mergeCells count="15">
    <mergeCell ref="A4:F5"/>
    <mergeCell ref="A6:F6"/>
    <mergeCell ref="A1:F1"/>
    <mergeCell ref="A2:B2"/>
    <mergeCell ref="A3:B3"/>
    <mergeCell ref="M1:R1"/>
    <mergeCell ref="M2:N2"/>
    <mergeCell ref="M3:N3"/>
    <mergeCell ref="G4:L5"/>
    <mergeCell ref="G6:L6"/>
    <mergeCell ref="M4:R5"/>
    <mergeCell ref="M6:R6"/>
    <mergeCell ref="G2:H2"/>
    <mergeCell ref="G3:H3"/>
    <mergeCell ref="G1:L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13619-C528-4B04-A1ED-B4C77CA83066}">
  <dimension ref="A1:AD12"/>
  <sheetViews>
    <sheetView tabSelected="1" topLeftCell="O1" zoomScaleNormal="100" workbookViewId="0">
      <selection activeCell="AB10" sqref="AB10"/>
    </sheetView>
  </sheetViews>
  <sheetFormatPr defaultRowHeight="14.5" x14ac:dyDescent="0.35"/>
  <cols>
    <col min="1" max="1" width="5" bestFit="1" customWidth="1"/>
    <col min="2" max="2" width="25.1796875" bestFit="1" customWidth="1"/>
    <col min="3" max="3" width="17.54296875" bestFit="1" customWidth="1"/>
    <col min="4" max="4" width="15.26953125" bestFit="1" customWidth="1"/>
    <col min="5" max="5" width="18.453125" bestFit="1" customWidth="1"/>
    <col min="6" max="6" width="8.7265625" style="9"/>
    <col min="7" max="7" width="5" bestFit="1" customWidth="1"/>
    <col min="8" max="8" width="23.7265625" bestFit="1" customWidth="1"/>
    <col min="9" max="9" width="48.81640625" customWidth="1"/>
    <col min="10" max="10" width="17.54296875" bestFit="1" customWidth="1"/>
    <col min="11" max="11" width="18.453125" customWidth="1"/>
    <col min="12" max="12" width="8.7265625" style="9"/>
    <col min="13" max="13" width="5" bestFit="1" customWidth="1"/>
    <col min="14" max="14" width="21.54296875" bestFit="1" customWidth="1"/>
    <col min="15" max="15" width="30.81640625" customWidth="1"/>
    <col min="16" max="16" width="15.26953125" bestFit="1" customWidth="1"/>
    <col min="17" max="17" width="18.453125" bestFit="1" customWidth="1"/>
    <col min="18" max="18" width="8.7265625" style="9"/>
    <col min="19" max="19" width="5" bestFit="1" customWidth="1"/>
    <col min="20" max="20" width="23.26953125" bestFit="1" customWidth="1"/>
    <col min="21" max="21" width="41" bestFit="1" customWidth="1"/>
    <col min="22" max="22" width="15.26953125" bestFit="1" customWidth="1"/>
    <col min="23" max="23" width="18.453125" bestFit="1" customWidth="1"/>
    <col min="24" max="24" width="8.7265625" style="9"/>
    <col min="25" max="25" width="5" bestFit="1" customWidth="1"/>
    <col min="26" max="26" width="19.1796875" bestFit="1" customWidth="1"/>
    <col min="27" max="27" width="11.54296875" bestFit="1" customWidth="1"/>
    <col min="28" max="28" width="15.26953125" bestFit="1" customWidth="1"/>
    <col min="29" max="29" width="18.453125" bestFit="1" customWidth="1"/>
  </cols>
  <sheetData>
    <row r="1" spans="1:30" x14ac:dyDescent="0.35">
      <c r="A1" s="16" t="s">
        <v>11</v>
      </c>
      <c r="B1" s="16"/>
      <c r="C1" s="16"/>
      <c r="D1" s="16"/>
      <c r="E1" s="16"/>
      <c r="F1" s="17"/>
      <c r="G1" s="16" t="s">
        <v>21</v>
      </c>
      <c r="H1" s="16"/>
      <c r="I1" s="16"/>
      <c r="J1" s="16"/>
      <c r="K1" s="16"/>
      <c r="L1" s="17"/>
      <c r="M1" s="18" t="s">
        <v>22</v>
      </c>
      <c r="N1" s="16"/>
      <c r="O1" s="16"/>
      <c r="P1" s="16"/>
      <c r="Q1" s="16"/>
      <c r="R1" s="17"/>
      <c r="S1" s="16" t="s">
        <v>23</v>
      </c>
      <c r="T1" s="16"/>
      <c r="U1" s="16"/>
      <c r="V1" s="16"/>
      <c r="W1" s="16"/>
      <c r="X1" s="17"/>
      <c r="Y1" s="16" t="s">
        <v>190</v>
      </c>
      <c r="Z1" s="16"/>
      <c r="AA1" s="16"/>
      <c r="AB1" s="16"/>
      <c r="AC1" s="16"/>
      <c r="AD1" s="16"/>
    </row>
    <row r="2" spans="1:30" x14ac:dyDescent="0.35">
      <c r="A2" s="16" t="s">
        <v>3</v>
      </c>
      <c r="B2" s="16"/>
      <c r="C2">
        <f>IFERROR(_xlfn.XLOOKUP(A1, TestMaster[Test Name], TestMaster[Test ID], "ID not found"), "")</f>
        <v>11</v>
      </c>
      <c r="E2" t="s">
        <v>4</v>
      </c>
      <c r="G2" s="16" t="s">
        <v>3</v>
      </c>
      <c r="H2" s="16"/>
      <c r="I2" s="8">
        <f>IFERROR(_xlfn.XLOOKUP(G1, TestMaster[Test Name], TestMaster[Test ID], "ID not found"), "")</f>
        <v>12</v>
      </c>
      <c r="K2" t="s">
        <v>4</v>
      </c>
      <c r="M2" s="16" t="s">
        <v>3</v>
      </c>
      <c r="N2" s="16"/>
      <c r="O2" s="8">
        <f>IFERROR(_xlfn.XLOOKUP(M1, TestMaster[Test Name], TestMaster[Test ID], "ID not found"), "")</f>
        <v>13</v>
      </c>
      <c r="Q2" t="s">
        <v>4</v>
      </c>
      <c r="S2" s="16" t="s">
        <v>3</v>
      </c>
      <c r="T2" s="16"/>
      <c r="U2" s="8">
        <f>IFERROR(_xlfn.XLOOKUP(S1, TestMaster[Test Name], TestMaster[Test ID], "ID not found"), "")</f>
        <v>14</v>
      </c>
      <c r="W2" t="s">
        <v>4</v>
      </c>
      <c r="Y2" s="16" t="s">
        <v>3</v>
      </c>
      <c r="Z2" s="16"/>
      <c r="AA2" s="8">
        <f>IFERROR(_xlfn.XLOOKUP(Y1, TestMaster[Test Name], TestMaster[Test ID], "ID not found"), "")</f>
        <v>15</v>
      </c>
      <c r="AC2" t="s">
        <v>4</v>
      </c>
    </row>
    <row r="3" spans="1:30" x14ac:dyDescent="0.35">
      <c r="A3" s="16" t="s">
        <v>186</v>
      </c>
      <c r="B3" s="16"/>
      <c r="C3" t="str">
        <f>IFERROR(_xlfn.XLOOKUP(A1, TestMaster[Test Name], TestMaster[Test Priority], "Priority not found"), "")</f>
        <v>High</v>
      </c>
      <c r="E3" t="s">
        <v>5</v>
      </c>
      <c r="F3" s="9" t="str">
        <f>IFERROR(_xlfn.XLOOKUP(A1, TestMaster[Test Name], TestMaster[Test Priority], "Priority not found"), "")</f>
        <v>High</v>
      </c>
      <c r="G3" s="16" t="s">
        <v>187</v>
      </c>
      <c r="H3" s="16"/>
      <c r="I3" s="8" t="str">
        <f>IFERROR(_xlfn.XLOOKUP(G1, TestMaster[Test Name], TestMaster[Test Priority], "Priority not found"), "")</f>
        <v>High</v>
      </c>
      <c r="K3" t="s">
        <v>5</v>
      </c>
      <c r="L3" s="9" t="str">
        <f>IFERROR(_xlfn.XLOOKUP(G1, TestMaster[Test Name], TestMaster[Test Priority], "Priority not found"), "")</f>
        <v>High</v>
      </c>
      <c r="M3" s="16" t="s">
        <v>186</v>
      </c>
      <c r="N3" s="16"/>
      <c r="O3" s="8" t="str">
        <f>IFERROR(_xlfn.XLOOKUP(M1, TestMaster[Test Name], TestMaster[Test Priority], "Priority not found"), "")</f>
        <v>Medium</v>
      </c>
      <c r="Q3" t="s">
        <v>5</v>
      </c>
      <c r="R3" s="9" t="str">
        <f>IFERROR(_xlfn.XLOOKUP(M1, TestMaster[Test Name], TestMaster[Test Priority], "Priority not found"), "")</f>
        <v>Medium</v>
      </c>
      <c r="S3" s="16" t="s">
        <v>186</v>
      </c>
      <c r="T3" s="16"/>
      <c r="U3" s="8" t="str">
        <f>IFERROR(_xlfn.XLOOKUP(S1, TestMaster[Test Name], TestMaster[Test Priority], "Priority not found"), "")</f>
        <v>Low</v>
      </c>
      <c r="W3" t="s">
        <v>5</v>
      </c>
      <c r="X3" s="9" t="str">
        <f>IFERROR(_xlfn.XLOOKUP(S1, TestMaster[Test Name], TestMaster[Test Priority], "Priority not found"), "")</f>
        <v>Low</v>
      </c>
      <c r="Y3" s="16" t="s">
        <v>186</v>
      </c>
      <c r="Z3" s="16"/>
      <c r="AA3" s="8" t="str">
        <f>IFERROR(_xlfn.XLOOKUP(Y1, TestMaster[Test Name], TestMaster[Test Priority], "Priority not found"), "")</f>
        <v>High</v>
      </c>
      <c r="AC3" t="s">
        <v>5</v>
      </c>
      <c r="AD3" t="str">
        <f>IFERROR(_xlfn.XLOOKUP(Y1, TestMaster[Test Name], TestMaster[Test Priority], "Priority not found"), "")</f>
        <v>High</v>
      </c>
    </row>
    <row r="4" spans="1:30" s="2" customFormat="1" x14ac:dyDescent="0.35">
      <c r="A4" s="20" t="s">
        <v>12</v>
      </c>
      <c r="B4" s="20"/>
      <c r="C4" s="20"/>
      <c r="D4" s="20"/>
      <c r="E4" s="20"/>
      <c r="F4" s="21"/>
      <c r="G4" s="20" t="s">
        <v>67</v>
      </c>
      <c r="H4" s="20"/>
      <c r="I4" s="20"/>
      <c r="J4" s="20"/>
      <c r="K4" s="20"/>
      <c r="L4" s="21"/>
      <c r="M4" s="19" t="s">
        <v>12</v>
      </c>
      <c r="N4" s="20"/>
      <c r="O4" s="20"/>
      <c r="P4" s="20"/>
      <c r="Q4" s="20"/>
      <c r="R4" s="21"/>
      <c r="S4" s="20" t="s">
        <v>12</v>
      </c>
      <c r="T4" s="20"/>
      <c r="U4" s="20"/>
      <c r="V4" s="20"/>
      <c r="W4" s="20"/>
      <c r="X4" s="21"/>
      <c r="Y4" s="20" t="s">
        <v>12</v>
      </c>
      <c r="Z4" s="20"/>
      <c r="AA4" s="20"/>
      <c r="AB4" s="20"/>
      <c r="AC4" s="20"/>
      <c r="AD4" s="20"/>
    </row>
    <row r="5" spans="1:30" s="2" customFormat="1" x14ac:dyDescent="0.35">
      <c r="A5" s="20"/>
      <c r="B5" s="20"/>
      <c r="C5" s="20"/>
      <c r="D5" s="20"/>
      <c r="E5" s="20"/>
      <c r="F5" s="21"/>
      <c r="G5" s="20"/>
      <c r="H5" s="20"/>
      <c r="I5" s="20"/>
      <c r="J5" s="20"/>
      <c r="K5" s="20"/>
      <c r="L5" s="21"/>
      <c r="M5" s="19"/>
      <c r="N5" s="20"/>
      <c r="O5" s="20"/>
      <c r="P5" s="20"/>
      <c r="Q5" s="20"/>
      <c r="R5" s="21"/>
      <c r="S5" s="20"/>
      <c r="T5" s="20"/>
      <c r="U5" s="20"/>
      <c r="V5" s="20"/>
      <c r="W5" s="20"/>
      <c r="X5" s="21"/>
      <c r="Y5" s="20"/>
      <c r="Z5" s="20"/>
      <c r="AA5" s="20"/>
      <c r="AB5" s="20"/>
      <c r="AC5" s="20"/>
      <c r="AD5" s="20"/>
    </row>
    <row r="6" spans="1:30" x14ac:dyDescent="0.35">
      <c r="A6" s="16" t="s">
        <v>68</v>
      </c>
      <c r="B6" s="16"/>
      <c r="C6" s="16"/>
      <c r="D6" s="16"/>
      <c r="E6" s="16"/>
      <c r="F6" s="17"/>
      <c r="G6" s="16" t="s">
        <v>68</v>
      </c>
      <c r="H6" s="16"/>
      <c r="I6" s="16"/>
      <c r="J6" s="16"/>
      <c r="K6" s="16"/>
      <c r="L6" s="17"/>
      <c r="M6" s="18" t="s">
        <v>69</v>
      </c>
      <c r="N6" s="16"/>
      <c r="O6" s="16"/>
      <c r="P6" s="16"/>
      <c r="Q6" s="16"/>
      <c r="R6" s="17"/>
      <c r="S6" s="16" t="s">
        <v>52</v>
      </c>
      <c r="T6" s="16"/>
      <c r="U6" s="16"/>
      <c r="V6" s="16"/>
      <c r="W6" s="16"/>
      <c r="X6" s="17"/>
      <c r="Y6" s="16" t="s">
        <v>68</v>
      </c>
      <c r="Z6" s="16"/>
      <c r="AA6" s="16"/>
      <c r="AB6" s="16"/>
      <c r="AC6" s="16"/>
      <c r="AD6" s="16"/>
    </row>
    <row r="7" spans="1:30" x14ac:dyDescent="0.35">
      <c r="A7" s="1" t="s">
        <v>0</v>
      </c>
      <c r="B7" s="1" t="s">
        <v>8</v>
      </c>
      <c r="C7" s="1" t="s">
        <v>9</v>
      </c>
      <c r="D7" s="1" t="s">
        <v>1</v>
      </c>
      <c r="E7" s="1" t="s">
        <v>10</v>
      </c>
      <c r="F7" s="12" t="s">
        <v>2</v>
      </c>
      <c r="G7" s="1" t="s">
        <v>0</v>
      </c>
      <c r="H7" s="1" t="s">
        <v>8</v>
      </c>
      <c r="I7" s="1" t="s">
        <v>9</v>
      </c>
      <c r="J7" s="1" t="s">
        <v>1</v>
      </c>
      <c r="K7" s="1" t="s">
        <v>10</v>
      </c>
      <c r="L7" s="12" t="s">
        <v>2</v>
      </c>
      <c r="M7" s="1" t="s">
        <v>0</v>
      </c>
      <c r="N7" s="1" t="s">
        <v>8</v>
      </c>
      <c r="O7" s="1" t="s">
        <v>9</v>
      </c>
      <c r="P7" s="1" t="s">
        <v>1</v>
      </c>
      <c r="Q7" s="1" t="s">
        <v>10</v>
      </c>
      <c r="R7" s="12" t="s">
        <v>2</v>
      </c>
      <c r="S7" s="1" t="s">
        <v>0</v>
      </c>
      <c r="T7" s="1" t="s">
        <v>8</v>
      </c>
      <c r="U7" s="1" t="s">
        <v>9</v>
      </c>
      <c r="V7" s="1" t="s">
        <v>1</v>
      </c>
      <c r="W7" s="1" t="s">
        <v>10</v>
      </c>
      <c r="X7" s="12" t="s">
        <v>2</v>
      </c>
      <c r="Y7" s="1" t="s">
        <v>0</v>
      </c>
      <c r="Z7" s="1" t="s">
        <v>8</v>
      </c>
      <c r="AA7" s="1" t="s">
        <v>9</v>
      </c>
      <c r="AB7" s="1" t="s">
        <v>1</v>
      </c>
      <c r="AC7" s="1" t="s">
        <v>10</v>
      </c>
      <c r="AD7" s="1" t="s">
        <v>2</v>
      </c>
    </row>
    <row r="8" spans="1:30" x14ac:dyDescent="0.35">
      <c r="A8">
        <v>1</v>
      </c>
      <c r="B8" t="s">
        <v>24</v>
      </c>
      <c r="C8" t="s">
        <v>26</v>
      </c>
      <c r="D8" t="s">
        <v>37</v>
      </c>
      <c r="G8">
        <v>1</v>
      </c>
      <c r="H8" t="s">
        <v>33</v>
      </c>
      <c r="I8" t="s">
        <v>26</v>
      </c>
      <c r="J8" t="s">
        <v>35</v>
      </c>
      <c r="M8">
        <v>1</v>
      </c>
      <c r="N8" t="s">
        <v>40</v>
      </c>
      <c r="O8" t="s">
        <v>26</v>
      </c>
      <c r="P8" t="s">
        <v>41</v>
      </c>
      <c r="S8">
        <v>1</v>
      </c>
      <c r="T8" t="s">
        <v>51</v>
      </c>
      <c r="U8" t="s">
        <v>56</v>
      </c>
      <c r="Y8">
        <v>1</v>
      </c>
      <c r="Z8" t="s">
        <v>62</v>
      </c>
      <c r="AA8" t="s">
        <v>66</v>
      </c>
      <c r="AB8" t="s">
        <v>65</v>
      </c>
    </row>
    <row r="9" spans="1:30" ht="58" x14ac:dyDescent="0.35">
      <c r="A9">
        <v>2</v>
      </c>
      <c r="B9" t="s">
        <v>48</v>
      </c>
      <c r="C9" t="s">
        <v>27</v>
      </c>
      <c r="D9" t="s">
        <v>38</v>
      </c>
      <c r="G9">
        <v>2</v>
      </c>
      <c r="H9" t="s">
        <v>34</v>
      </c>
      <c r="I9" s="2" t="s">
        <v>36</v>
      </c>
      <c r="J9" s="2" t="s">
        <v>58</v>
      </c>
      <c r="M9">
        <v>2</v>
      </c>
      <c r="N9" s="2" t="s">
        <v>42</v>
      </c>
      <c r="O9" s="2" t="s">
        <v>43</v>
      </c>
      <c r="P9" s="2" t="s">
        <v>44</v>
      </c>
      <c r="S9">
        <v>2</v>
      </c>
      <c r="T9" t="s">
        <v>55</v>
      </c>
      <c r="U9" t="s">
        <v>57</v>
      </c>
      <c r="Y9">
        <v>2</v>
      </c>
      <c r="Z9" t="s">
        <v>191</v>
      </c>
      <c r="AA9" t="s">
        <v>192</v>
      </c>
      <c r="AB9" t="s">
        <v>193</v>
      </c>
    </row>
    <row r="10" spans="1:30" x14ac:dyDescent="0.35">
      <c r="A10">
        <v>3</v>
      </c>
      <c r="B10" t="s">
        <v>25</v>
      </c>
      <c r="C10" t="s">
        <v>28</v>
      </c>
      <c r="D10" t="s">
        <v>39</v>
      </c>
      <c r="G10">
        <v>3</v>
      </c>
      <c r="H10" t="s">
        <v>49</v>
      </c>
      <c r="I10" t="s">
        <v>50</v>
      </c>
      <c r="J10" t="s">
        <v>59</v>
      </c>
      <c r="M10">
        <v>3</v>
      </c>
      <c r="N10" t="s">
        <v>45</v>
      </c>
      <c r="O10" t="s">
        <v>46</v>
      </c>
      <c r="P10" s="3" t="s">
        <v>47</v>
      </c>
      <c r="S10">
        <v>3</v>
      </c>
      <c r="T10" t="s">
        <v>54</v>
      </c>
      <c r="U10" t="s">
        <v>60</v>
      </c>
      <c r="Y10">
        <v>3</v>
      </c>
      <c r="Z10" t="s">
        <v>63</v>
      </c>
      <c r="AA10" t="s">
        <v>26</v>
      </c>
      <c r="AB10" t="s">
        <v>64</v>
      </c>
    </row>
    <row r="11" spans="1:30" x14ac:dyDescent="0.35">
      <c r="A11">
        <v>4</v>
      </c>
      <c r="B11" t="s">
        <v>29</v>
      </c>
      <c r="C11" t="s">
        <v>30</v>
      </c>
      <c r="D11" t="s">
        <v>37</v>
      </c>
      <c r="S11">
        <v>4</v>
      </c>
      <c r="T11" t="s">
        <v>51</v>
      </c>
      <c r="U11" t="s">
        <v>61</v>
      </c>
    </row>
    <row r="12" spans="1:30" x14ac:dyDescent="0.35">
      <c r="A12">
        <v>5</v>
      </c>
      <c r="B12" t="s">
        <v>31</v>
      </c>
      <c r="C12" t="s">
        <v>32</v>
      </c>
      <c r="D12" t="s">
        <v>39</v>
      </c>
      <c r="S12">
        <v>5</v>
      </c>
      <c r="T12" t="s">
        <v>53</v>
      </c>
      <c r="U12" t="s">
        <v>57</v>
      </c>
    </row>
  </sheetData>
  <mergeCells count="25">
    <mergeCell ref="A4:F5"/>
    <mergeCell ref="A6:F6"/>
    <mergeCell ref="A1:F1"/>
    <mergeCell ref="M1:R1"/>
    <mergeCell ref="G4:L5"/>
    <mergeCell ref="G6:L6"/>
    <mergeCell ref="M4:R5"/>
    <mergeCell ref="M6:R6"/>
    <mergeCell ref="G1:L1"/>
    <mergeCell ref="A2:B2"/>
    <mergeCell ref="A3:B3"/>
    <mergeCell ref="G2:H2"/>
    <mergeCell ref="G3:H3"/>
    <mergeCell ref="M2:N2"/>
    <mergeCell ref="M3:N3"/>
    <mergeCell ref="Y1:AD1"/>
    <mergeCell ref="Y2:Z2"/>
    <mergeCell ref="Y3:Z3"/>
    <mergeCell ref="S4:X5"/>
    <mergeCell ref="S6:X6"/>
    <mergeCell ref="Y4:AD5"/>
    <mergeCell ref="Y6:AD6"/>
    <mergeCell ref="S2:T2"/>
    <mergeCell ref="S3:T3"/>
    <mergeCell ref="S1:X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988f0a4-524a-45f2-829d-417725fa4957}" enabled="1" method="Standard" siteId="{52daf2a9-3b73-4da4-ac6a-3f81adc92b7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Tests</vt:lpstr>
      <vt:lpstr>Element Import Testing</vt:lpstr>
      <vt:lpstr>Element Creation Testing</vt:lpstr>
      <vt:lpstr>Element Modification Testing</vt:lpstr>
      <vt:lpstr>Element Deletion Testing</vt:lpstr>
      <vt:lpstr>File Manipulation 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Corbin Ferguson</dc:creator>
  <cp:lastModifiedBy>Corbin Ferguson</cp:lastModifiedBy>
  <dcterms:created xsi:type="dcterms:W3CDTF">2015-06-05T18:19:34Z</dcterms:created>
  <dcterms:modified xsi:type="dcterms:W3CDTF">2026-02-03T14:11:20Z</dcterms:modified>
</cp:coreProperties>
</file>