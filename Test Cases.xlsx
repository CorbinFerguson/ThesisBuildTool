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131" documentId="8_{ACB02C7F-D6E2-4966-A33B-F6A9CC3422F4}" xr6:coauthVersionLast="47" xr6:coauthVersionMax="47" xr10:uidLastSave="{7377F82A-2F94-43B5-9485-E298E2C17E11}"/>
  <bookViews>
    <workbookView xWindow="-120" yWindow="-120" windowWidth="25440" windowHeight="15270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DX4" i="8"/>
  <c r="H4" i="1"/>
  <c r="B25" i="1"/>
  <c r="B26" i="1"/>
  <c r="B27" i="1"/>
  <c r="B28" i="1"/>
  <c r="B29" i="1"/>
  <c r="B30" i="1"/>
  <c r="B2" i="1"/>
  <c r="B3" i="1"/>
  <c r="B5" i="1"/>
  <c r="B6" i="1"/>
  <c r="B4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54" i="1"/>
  <c r="B48" i="1"/>
  <c r="B47" i="1"/>
  <c r="B58" i="1"/>
  <c r="B46" i="1"/>
  <c r="B49" i="1"/>
  <c r="B50" i="1"/>
  <c r="B51" i="1"/>
  <c r="B52" i="1"/>
  <c r="B53" i="1"/>
  <c r="B55" i="1"/>
  <c r="B56" i="1"/>
  <c r="B57" i="1"/>
  <c r="B59" i="1"/>
  <c r="B60" i="1"/>
  <c r="A44" i="1"/>
  <c r="A62" i="1"/>
  <c r="A63" i="1"/>
  <c r="A64" i="1"/>
  <c r="A65" i="1"/>
  <c r="A66" i="1"/>
  <c r="A67" i="1"/>
  <c r="A68" i="1"/>
  <c r="A69" i="1"/>
  <c r="A70" i="1"/>
  <c r="A71" i="1"/>
  <c r="A72" i="1"/>
  <c r="B45" i="1"/>
  <c r="A16" i="1"/>
  <c r="A15" i="1"/>
  <c r="A18" i="1"/>
  <c r="A17" i="1"/>
  <c r="A12" i="1"/>
  <c r="A45" i="1"/>
  <c r="A61" i="1"/>
  <c r="A43" i="1"/>
  <c r="A52" i="1"/>
  <c r="A51" i="1"/>
  <c r="A54" i="1"/>
  <c r="A38" i="1"/>
  <c r="A41" i="1"/>
  <c r="A39" i="1"/>
  <c r="A42" i="1"/>
  <c r="A40" i="1"/>
  <c r="A11" i="1"/>
  <c r="A14" i="1"/>
  <c r="A13" i="1"/>
  <c r="A5" i="1"/>
  <c r="A8" i="1"/>
  <c r="A7" i="1"/>
  <c r="A9" i="1"/>
  <c r="A3" i="1"/>
  <c r="A2" i="1"/>
  <c r="A4" i="1"/>
  <c r="A19" i="1"/>
  <c r="A20" i="1"/>
  <c r="A6" i="1"/>
  <c r="A21" i="1"/>
  <c r="A46" i="1"/>
  <c r="A48" i="1"/>
  <c r="A47" i="1"/>
  <c r="A49" i="1"/>
  <c r="A50" i="1"/>
  <c r="A59" i="1"/>
  <c r="A55" i="1"/>
  <c r="A58" i="1"/>
  <c r="A57" i="1"/>
  <c r="A56" i="1"/>
  <c r="A53" i="1"/>
  <c r="A60" i="1"/>
  <c r="A10" i="1"/>
  <c r="A23" i="1"/>
  <c r="A22" i="1"/>
  <c r="A24" i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9" i="2"/>
  <c r="A32" i="1"/>
  <c r="A31" i="1"/>
  <c r="A33" i="1"/>
  <c r="A29" i="1"/>
  <c r="A28" i="1"/>
  <c r="A30" i="1"/>
  <c r="A36" i="1"/>
  <c r="A35" i="1"/>
  <c r="A37" i="1"/>
  <c r="A27" i="1"/>
  <c r="A26" i="1"/>
  <c r="H3" i="1"/>
  <c r="A25" i="1"/>
  <c r="H2" i="1"/>
  <c r="A34" i="1"/>
  <c r="H1" i="1"/>
  <c r="CH5" i="7" l="1"/>
  <c r="DX2" i="7"/>
  <c r="EZ5" i="8"/>
  <c r="EZ4" i="8"/>
  <c r="DJ5" i="8"/>
  <c r="ES2" i="8"/>
  <c r="AD2" i="7"/>
  <c r="CH2" i="7"/>
  <c r="EL2" i="7"/>
  <c r="AK4" i="7"/>
  <c r="CO4" i="7"/>
  <c r="ES4" i="7"/>
  <c r="AR5" i="7"/>
  <c r="CV5" i="7"/>
  <c r="EZ5" i="7"/>
  <c r="AY2" i="8"/>
  <c r="DC2" i="8"/>
  <c r="BF4" i="8"/>
  <c r="DJ4" i="8"/>
  <c r="I5" i="8"/>
  <c r="BM5" i="8"/>
  <c r="DQ5" i="8"/>
  <c r="EE4" i="7"/>
  <c r="CO2" i="8"/>
  <c r="DC5" i="8"/>
  <c r="CA2" i="7"/>
  <c r="CH4" i="7"/>
  <c r="AK5" i="7"/>
  <c r="AR2" i="8"/>
  <c r="EZ2" i="8"/>
  <c r="B5" i="8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AD5" i="7"/>
  <c r="AY5" i="8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W5" i="8"/>
  <c r="CA5" i="8"/>
  <c r="EE5" i="8"/>
  <c r="P2" i="7"/>
  <c r="CA4" i="7"/>
  <c r="AR4" i="8"/>
  <c r="EE2" i="7"/>
  <c r="CO5" i="7"/>
  <c r="CV2" i="8"/>
  <c r="DC4" i="8"/>
  <c r="BF5" i="8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BT2" i="7"/>
  <c r="EL5" i="7"/>
  <c r="CV4" i="8"/>
  <c r="W2" i="7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W4" i="7"/>
  <c r="AK2" i="8"/>
  <c r="AD4" i="7"/>
  <c r="EL4" i="7"/>
  <c r="ES5" i="7"/>
  <c r="AY4" i="8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  <c r="O3" i="6"/>
  <c r="O2" i="6"/>
  <c r="R3" i="5"/>
  <c r="C2" i="3"/>
  <c r="C2" i="5"/>
  <c r="C2" i="2"/>
  <c r="I2" i="6"/>
  <c r="F3" i="2"/>
  <c r="L3" i="3"/>
  <c r="I3" i="4"/>
  <c r="F3" i="5"/>
  <c r="C3" i="6"/>
  <c r="I2" i="4"/>
  <c r="F3" i="3"/>
  <c r="C3" i="4"/>
  <c r="O3" i="3"/>
  <c r="L3" i="4"/>
  <c r="I3" i="5"/>
  <c r="F3" i="6"/>
  <c r="R3" i="3"/>
  <c r="O3" i="4"/>
  <c r="L3" i="5"/>
  <c r="I3" i="6"/>
  <c r="I2" i="3"/>
  <c r="C2" i="4"/>
  <c r="R3" i="4"/>
  <c r="O3" i="5"/>
  <c r="L3" i="6"/>
  <c r="O2" i="3"/>
  <c r="C3" i="3"/>
  <c r="O2" i="4"/>
  <c r="I2" i="5"/>
  <c r="C2" i="6"/>
  <c r="R3" i="6"/>
  <c r="O2" i="5"/>
  <c r="C3" i="2"/>
  <c r="I3" i="3"/>
  <c r="F3" i="4"/>
  <c r="C3" i="5"/>
</calcChain>
</file>

<file path=xl/sharedStrings.xml><?xml version="1.0" encoding="utf-8"?>
<sst xmlns="http://schemas.openxmlformats.org/spreadsheetml/2006/main" count="1755" uniqueCount="318">
  <si>
    <t>Test ID</t>
  </si>
  <si>
    <t>Test Name</t>
  </si>
  <si>
    <t>Test Status</t>
  </si>
  <si>
    <t>Test Priority</t>
  </si>
  <si>
    <t>Not Implemented</t>
  </si>
  <si>
    <t>Fail</t>
  </si>
  <si>
    <t>Medium</t>
  </si>
  <si>
    <t>High</t>
  </si>
  <si>
    <t>Low</t>
  </si>
  <si>
    <t>Import Select Redundant Name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</si>
  <si>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</si>
  <si>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</si>
  <si>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</si>
  <si>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</si>
  <si>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</si>
  <si>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</si>
  <si>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</si>
  <si>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</si>
  <si>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</si>
  <si>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</si>
  <si>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</si>
  <si>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</si>
  <si>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</si>
  <si>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</si>
  <si>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</si>
  <si>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</si>
  <si>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</si>
  <si>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</si>
  <si>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</si>
  <si>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</si>
  <si>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</si>
  <si>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</si>
  <si>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</si>
  <si>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</si>
  <si>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</si>
  <si>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</si>
  <si>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</si>
  <si>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move to add another window</t>
  </si>
  <si>
    <t>Select Resolution Style</t>
  </si>
  <si>
    <t>"Replace" button press</t>
  </si>
  <si>
    <t>existing element replaced by new element, move to Add Another window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</si>
  <si>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</si>
  <si>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</si>
  <si>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</si>
  <si>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</si>
  <si>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</si>
  <si>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</si>
  <si>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</si>
  <si>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name still redundant, choose new resolution method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</si>
  <si>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</si>
  <si>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</si>
  <si>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</si>
  <si>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</si>
  <si>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</si>
  <si>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</si>
  <si>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</si>
  <si>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</si>
  <si>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</si>
  <si>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</si>
  <si>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</si>
  <si>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</si>
  <si>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</si>
  <si>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</si>
  <si>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</si>
  <si>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</si>
  <si>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</si>
  <si>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</si>
  <si>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</si>
  <si>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</si>
  <si>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</si>
  <si>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</si>
  <si>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</si>
  <si>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</si>
  <si>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</si>
  <si>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</si>
  <si>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</si>
  <si>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</si>
  <si>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</si>
  <si>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</si>
  <si>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</si>
  <si>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</si>
  <si>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</si>
  <si>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</si>
  <si>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</si>
  <si>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</si>
  <si>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Completed Element Modification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</si>
  <si>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</si>
  <si>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</si>
  <si>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</si>
  <si>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</si>
  <si>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</si>
  <si>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</si>
  <si>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</si>
  <si>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</si>
  <si>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</si>
  <si>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</si>
  <si>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</si>
  <si>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</si>
  <si>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</si>
  <si>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>select Name &amp; other to modify</t>
  </si>
  <si>
    <t xml:space="preserve">text window popup </t>
  </si>
  <si>
    <t>Select attributes to modify for element1</t>
  </si>
  <si>
    <t>select Name to modify</t>
  </si>
  <si>
    <t>Set Name</t>
  </si>
  <si>
    <t>NewName</t>
  </si>
  <si>
    <t>continue to next attribute</t>
  </si>
  <si>
    <t>Set Name for element1</t>
  </si>
  <si>
    <t>redundant name</t>
  </si>
  <si>
    <t>Set other</t>
  </si>
  <si>
    <t>NewOther</t>
  </si>
  <si>
    <t>move to select subelements</t>
  </si>
  <si>
    <t>existing element replaced by new element, move to next element modify</t>
  </si>
  <si>
    <t>Select subelements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</si>
  <si>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</si>
  <si>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</si>
  <si>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</si>
  <si>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</si>
  <si>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</si>
  <si>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move to element2 select attributes window</t>
  </si>
  <si>
    <t>text input for new name window appears</t>
  </si>
  <si>
    <t>new name set, continue to select subelements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</si>
  <si>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</si>
  <si>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</si>
  <si>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</si>
  <si>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</si>
  <si>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</si>
  <si>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</si>
  <si>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</si>
  <si>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</si>
  <si>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</si>
  <si>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</si>
  <si>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chosen element is deleted, return to action select window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</si>
  <si>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</si>
  <si>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</si>
  <si>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</si>
  <si>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</si>
  <si>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</si>
  <si>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</si>
  <si>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</si>
  <si>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</si>
  <si>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</si>
  <si>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</si>
  <si>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</si>
  <si>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</si>
  <si>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</si>
  <si>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</si>
  <si>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</si>
  <si>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</si>
  <si>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</si>
  <si>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</si>
  <si>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</si>
  <si>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</si>
  <si>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</si>
  <si>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</si>
  <si>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</si>
  <si>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</si>
  <si>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</si>
  <si>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</si>
  <si>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</si>
  <si>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</si>
  <si>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</si>
  <si>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</si>
  <si>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</si>
  <si>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</si>
  <si>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</si>
  <si>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</si>
  <si>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</si>
  <si>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</si>
  <si>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</si>
  <si>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</si>
  <si>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</si>
  <si>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</si>
  <si>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</si>
  <si>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</si>
  <si>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</si>
  <si>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</si>
  <si>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</si>
  <si>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</si>
  <si>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</si>
  <si>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</si>
  <si>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</si>
  <si>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</si>
  <si>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</si>
  <si>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</si>
  <si>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</si>
  <si>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</si>
  <si>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</si>
  <si>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</si>
  <si>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</si>
  <si>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</si>
  <si>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</si>
  <si>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</si>
  <si>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</si>
  <si>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</si>
  <si>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</si>
  <si>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</si>
  <si>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</si>
  <si>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</si>
  <si>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</si>
  <si>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</si>
  <si>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</si>
  <si>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</si>
  <si>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</si>
  <si>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Auto-generated test case from unit test 'InitializeNew_LoadsBasicFile'.</t>
  </si>
  <si>
    <t>Auto-generated test case from unit test 'ValidateFile_WithNoErrors_ShowsNoErrorMessage'.</t>
  </si>
  <si>
    <t>Auto-generated test case from unit test 'ValidateFile_WithErrors_DisplaysErrors'.</t>
  </si>
  <si>
    <t>Auto-generated test case from unit test 'ValidateFile_WithShowNoErrorFalse_DoesNotShowSuccessMessage'.</t>
  </si>
  <si>
    <t>Auto-generated test case from unit test 'NewFile_UserConfirms_CreatesNewFile'.</t>
  </si>
  <si>
    <t>Auto-generated test case from unit test 'NewFile_UserCancels_DoesNotCreateNewFile'.</t>
  </si>
  <si>
    <t>Auto-generated test case from unit test 'SaveFile_UserSelectsPath_SavesDocument'.</t>
  </si>
  <si>
    <t>Auto-generated test case from unit test 'SaveFile_UserCancels_DoesNotSave'.</t>
  </si>
  <si>
    <t>Auto-generated test case from unit test 'LoadFile_UserSelectsFile_LoadsDocument'.</t>
  </si>
  <si>
    <t>Auto-generated test case from unit test 'LoadFile_UserCancels_DoesNotLoad'.</t>
  </si>
  <si>
    <t>Auto-generated test case from unit test 'ModifyElement_SelectsProgramType_ModifiesElements'.</t>
  </si>
  <si>
    <t>Auto-generated test case from unit test 'ModifyElement_SelectsModuleType_UsesCatalogNumber'.</t>
  </si>
  <si>
    <t>Auto-generated test case from unit test 'DeleteElement_SelectsElements_RemovesThem'.</t>
  </si>
  <si>
    <t>Auto-generated test case from unit test 'ImportElement_UserSelectsFile_ImportsElements'.</t>
  </si>
  <si>
    <t>Auto-generated test case from unit test 'ImportElement_UserCancelsFileSelection_ReturnsEarly'.</t>
  </si>
  <si>
    <t>Auto-generated test case from unit test 'ImportElement_UserWantsToAddMore_Loops'.</t>
  </si>
  <si>
    <t>Auto-generated test case from unit test 'CreateElement_SingleProgram_CreatesElement'.</t>
  </si>
  <si>
    <t>Auto-generated test case from unit test 'CreateElement_MultipleElements_CreatesAll'.</t>
  </si>
  <si>
    <t>Auto-generated test case from unit test 'ExpectedException'.</t>
  </si>
  <si>
    <t>Auto-generated test case from unit test 'SetAttributes_WithElementAndAttributes_SetsValues'.</t>
  </si>
  <si>
    <t>Auto-generated test case from unit test 'SetAttributes_WithMultipleElements_ProcessesAll'.</t>
  </si>
  <si>
    <t>Auto-generated test case from unit test 'Execute_Constructor_InitializesAllDependencies'.</t>
  </si>
  <si>
    <t>Auto-generated test case from unit test 'StaticDoc_IsAccessible'.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</si>
  <si>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</si>
  <si>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</si>
  <si>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</si>
  <si>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</si>
  <si>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</si>
  <si>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</si>
  <si>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</si>
  <si>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</si>
  <si>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</si>
  <si>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</si>
  <si>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</si>
  <si>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</si>
  <si>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</si>
  <si>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</si>
  <si>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</si>
  <si>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</si>
  <si>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</si>
  <si>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</si>
  <si>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</si>
  <si>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</si>
  <si>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</si>
  <si>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</si>
  <si>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</si>
  <si>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</si>
  <si>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</si>
  <si>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</si>
  <si>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</si>
  <si>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</si>
  <si>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</si>
  <si>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</si>
  <si>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</si>
  <si>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</si>
  <si>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</si>
  <si>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 Pathto Root Schema Handles Ambiguous Path With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</si>
  <si>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</si>
  <si>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</si>
  <si>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</si>
  <si>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</si>
  <si>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</si>
  <si>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</si>
  <si>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</si>
  <si>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</si>
  <si>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</si>
  <si>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Auto-generated test case from unit test 'Constructor_SetsValidatorAndDisambiguator'.</t>
  </si>
  <si>
    <t>Auto-generated test case from unit test 'GetSimpleElements_ReturnsListOfElements_ExcludingCustomProperties'.</t>
  </si>
  <si>
    <t>Auto-generated test case from unit test 'GetElementTypes_ReturnsValidTypes_FromDocument'.</t>
  </si>
  <si>
    <t>Auto-generated test case from unit test 'CheckForDependencies_AddsDependentElements_WhenDependenciesExist'.</t>
  </si>
  <si>
    <t>Auto-generated test case from unit test 'CheckForDependencies_SkipsDependencies_WhenAlreadyExist'.</t>
  </si>
  <si>
    <t>Auto-generated test case from unit test 'CheckForDependencies_HandlesParentModule_WhenNotLocal'.</t>
  </si>
  <si>
    <t>Auto-generated test case from unit test 'CheckForDependencies_WithList_ProcessesAllElements'.</t>
  </si>
  <si>
    <t>Auto-generated test case from unit test 'CheckForDependencies_HandlesTaskWithScheduledPrograms'.</t>
  </si>
  <si>
    <t>Auto-generated test case from unit test 'FindPathtoRootSchema_ReturnsPathQueue_ForValidElement'.</t>
  </si>
  <si>
    <t>Auto-generated test case from unit test 'FindPathtoRootSchema_HandlesAmbiguousPath_WithDisambiguator'.</t>
  </si>
  <si>
    <t>Auto-generated test case from unit test 'GetAttributes_ReturnsAllAttributes_ForElement'.</t>
  </si>
  <si>
    <t>Auto-generated test case from unit test 'GetAttributes_WithMultipleElements_ReturnsListOfAttributeLists'.</t>
  </si>
  <si>
    <t>Auto-generated test case from unit test 'LoadBasicFile_ReturnsXDocument'.</t>
  </si>
  <si>
    <t>Auto-generated test case from unit test 'InsertElement_AddsElement_ToDocument'.</t>
  </si>
  <si>
    <t>Auto-generated test case from unit test 'InsertElement_WithList_InsertsAllElements'.</t>
  </si>
  <si>
    <t>Auto-generated test case from unit test 'InsertElement_HandlesModules_WithCatalogNumber'.</t>
  </si>
  <si>
    <t>Auto-generated test case from unit test 'GetValidator_ReturnsValidationService'.</t>
  </si>
  <si>
    <t>Auto-generated test case from unit test 'Namespace_IsCorrect'.</t>
  </si>
  <si>
    <t>Auto-generated test case from unit test 'ElementInfo_IsInitialized'.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</si>
  <si>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</si>
  <si>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</si>
  <si>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</si>
  <si>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</si>
  <si>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</si>
  <si>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</si>
  <si>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</si>
  <si>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</si>
  <si>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</si>
  <si>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</si>
  <si>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</si>
  <si>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</si>
  <si>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</si>
  <si>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Pass</t>
  </si>
  <si>
    <t>Namespace</t>
  </si>
  <si>
    <t>XMLHandler</t>
  </si>
  <si>
    <t>Execute Tests</t>
  </si>
  <si>
    <t>GUI_Create</t>
  </si>
  <si>
    <t>GUI_Delete</t>
  </si>
  <si>
    <t>GUI_File management</t>
  </si>
  <si>
    <t>GUI_Import</t>
  </si>
  <si>
    <t>GUI_Modify</t>
  </si>
  <si>
    <t>CreateElement No Valid Parents Throws Exception</t>
  </si>
  <si>
    <t>GetElementTypes Throws EmptyListException When No Valid Elements</t>
  </si>
  <si>
    <t>FindPathtoRootSchema Throws Exception When Starting At Root</t>
  </si>
  <si>
    <t>FindPathtoRootSchema Throws Exception When Ambiguous And No Disambiguator</t>
  </si>
  <si>
    <t>InsertElement Throws Exception When Element Already Exists</t>
  </si>
  <si>
    <t>Skipped</t>
  </si>
  <si>
    <t>Description: Test that the standard creation of multiple elements works.</t>
  </si>
  <si>
    <t>Textinput REGEX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</si>
</sst>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7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67-4476-8FAF-4699BE561220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367-4476-8FAF-4699BE561220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9367-4476-8FAF-4699BE561220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12</c:v>
                </c:pt>
                <c:pt idx="1">
                  <c:v>32</c:v>
                </c:pt>
                <c:pt idx="2">
                  <c:v>15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7-4476-8FAF-4699BE5612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49932</xdr:colOff>
      <xdr:row>1</xdr:row>
      <xdr:rowOff>73025</xdr:rowOff>
    </xdr:from>
    <xdr:to>
      <xdr:col>13</xdr:col>
      <xdr:colOff>200025</xdr:colOff>
      <xdr:row>13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2">
  <autoFilter ref="A1:E7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2">
    <sortCondition ref="E1:E72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96660FC9-708C-4193-8B48-B2CC427B7A8B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37" workbookViewId="0">
      <selection activeCell="C61" sqref="C61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302</v>
      </c>
      <c r="G1" t="s">
        <v>4</v>
      </c>
      <c r="H1">
        <f>COUNTIF(TestMaster[Test Status], "Not Implemented")</f>
        <v>12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5</v>
      </c>
      <c r="E2" t="s">
        <v>304</v>
      </c>
      <c r="G2" t="s">
        <v>301</v>
      </c>
      <c r="H2">
        <f>COUNTIF(TestMaster[Test Status], "Pass")</f>
        <v>32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5</v>
      </c>
      <c r="E3" t="s">
        <v>304</v>
      </c>
      <c r="G3" t="s">
        <v>5</v>
      </c>
      <c r="H3">
        <f>COUNTIF(TestMaster[Test Status], "Fail")</f>
        <v>15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5</v>
      </c>
      <c r="E4" t="s">
        <v>304</v>
      </c>
      <c r="G4" t="s">
        <v>315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5</v>
      </c>
      <c r="E5" t="s">
        <v>304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301</v>
      </c>
      <c r="E6" t="s">
        <v>304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301</v>
      </c>
      <c r="E7" t="s">
        <v>304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5</v>
      </c>
      <c r="E8" t="s">
        <v>304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5</v>
      </c>
      <c r="E9" t="s">
        <v>304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5</v>
      </c>
      <c r="D10" t="s">
        <v>6</v>
      </c>
      <c r="E10" t="s">
        <v>304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301</v>
      </c>
      <c r="E11" t="s">
        <v>304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301</v>
      </c>
      <c r="E12" t="s">
        <v>304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5</v>
      </c>
      <c r="E13" t="s">
        <v>304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5</v>
      </c>
      <c r="E14" t="s">
        <v>304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5</v>
      </c>
      <c r="E15" t="s">
        <v>304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5</v>
      </c>
      <c r="E16" t="s">
        <v>304</v>
      </c>
      <c r="G16" s="17"/>
    </row>
    <row r="17" spans="1:5" x14ac:dyDescent="0.25">
      <c r="A17" s="6">
        <f t="shared" si="0"/>
        <v>16</v>
      </c>
      <c r="B17" t="str">
        <f>'Unit ExecuteTests'!AX1</f>
        <v>Save File User Cancels Does Not Save</v>
      </c>
      <c r="C17" s="5" t="s">
        <v>301</v>
      </c>
      <c r="E17" t="s">
        <v>304</v>
      </c>
    </row>
    <row r="18" spans="1:5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301</v>
      </c>
      <c r="E18" t="s">
        <v>304</v>
      </c>
    </row>
    <row r="19" spans="1:5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301</v>
      </c>
      <c r="E19" t="s">
        <v>304</v>
      </c>
    </row>
    <row r="20" spans="1:5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301</v>
      </c>
      <c r="E20" t="s">
        <v>304</v>
      </c>
    </row>
    <row r="21" spans="1:5" x14ac:dyDescent="0.25">
      <c r="A21" s="6">
        <f t="shared" si="0"/>
        <v>20</v>
      </c>
      <c r="B21" t="str">
        <f>'Unit ExecuteTests'!EY1</f>
        <v>Static Doc Is Accessible</v>
      </c>
      <c r="C21" s="5" t="s">
        <v>301</v>
      </c>
      <c r="E21" t="s">
        <v>304</v>
      </c>
    </row>
    <row r="22" spans="1:5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301</v>
      </c>
      <c r="D22" t="s">
        <v>6</v>
      </c>
      <c r="E22" t="s">
        <v>304</v>
      </c>
    </row>
    <row r="23" spans="1:5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301</v>
      </c>
      <c r="D23" t="s">
        <v>6</v>
      </c>
      <c r="E23" t="s">
        <v>304</v>
      </c>
    </row>
    <row r="24" spans="1:5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301</v>
      </c>
      <c r="D24" t="s">
        <v>6</v>
      </c>
      <c r="E24" t="s">
        <v>304</v>
      </c>
    </row>
    <row r="25" spans="1:5" x14ac:dyDescent="0.25">
      <c r="A25" s="6">
        <f t="shared" si="0"/>
        <v>24</v>
      </c>
      <c r="B25" t="str">
        <f>Create!A1</f>
        <v>Element Quantity Creation</v>
      </c>
      <c r="C25" s="5" t="s">
        <v>4</v>
      </c>
      <c r="D25" t="s">
        <v>7</v>
      </c>
      <c r="E25" t="s">
        <v>305</v>
      </c>
    </row>
    <row r="26" spans="1:5" x14ac:dyDescent="0.25">
      <c r="A26" s="6">
        <f t="shared" si="0"/>
        <v>25</v>
      </c>
      <c r="B26" t="str">
        <f>Create!G1</f>
        <v>Nameless Module Creation</v>
      </c>
      <c r="C26" s="5" t="s">
        <v>4</v>
      </c>
      <c r="D26" t="s">
        <v>6</v>
      </c>
      <c r="E26" t="s">
        <v>305</v>
      </c>
    </row>
    <row r="27" spans="1:5" x14ac:dyDescent="0.25">
      <c r="A27" s="6">
        <f t="shared" si="0"/>
        <v>26</v>
      </c>
      <c r="B27" t="str">
        <f>Create!M1</f>
        <v>Redundant Element Creation</v>
      </c>
      <c r="C27" s="5" t="s">
        <v>4</v>
      </c>
      <c r="D27" t="s">
        <v>8</v>
      </c>
      <c r="E27" t="s">
        <v>305</v>
      </c>
    </row>
    <row r="28" spans="1:5" x14ac:dyDescent="0.25">
      <c r="A28" s="6">
        <f t="shared" si="0"/>
        <v>27</v>
      </c>
      <c r="B28" t="str">
        <f>Delete!G1</f>
        <v>Delete Element Found</v>
      </c>
      <c r="C28" s="5" t="s">
        <v>4</v>
      </c>
      <c r="D28" t="s">
        <v>6</v>
      </c>
      <c r="E28" t="s">
        <v>306</v>
      </c>
    </row>
    <row r="29" spans="1:5" x14ac:dyDescent="0.25">
      <c r="A29" s="6">
        <f t="shared" si="0"/>
        <v>28</v>
      </c>
      <c r="B29" t="str">
        <f>Delete!M1</f>
        <v>Delete Module by Port</v>
      </c>
      <c r="C29" s="5" t="s">
        <v>4</v>
      </c>
      <c r="D29" t="s">
        <v>8</v>
      </c>
      <c r="E29" t="s">
        <v>306</v>
      </c>
    </row>
    <row r="30" spans="1:5" x14ac:dyDescent="0.25">
      <c r="A30" s="6">
        <f t="shared" si="0"/>
        <v>29</v>
      </c>
      <c r="B30" t="str">
        <f>Delete!A1</f>
        <v>Delete No Element Type</v>
      </c>
      <c r="C30" s="5" t="s">
        <v>4</v>
      </c>
      <c r="D30" t="s">
        <v>6</v>
      </c>
      <c r="E30" t="s">
        <v>306</v>
      </c>
    </row>
    <row r="31" spans="1:5" x14ac:dyDescent="0.25">
      <c r="A31" s="6">
        <f t="shared" si="0"/>
        <v>30</v>
      </c>
      <c r="B31" t="str">
        <f>'File Manipulation'!G1</f>
        <v>ActionSelectLayout</v>
      </c>
      <c r="C31" s="5" t="s">
        <v>5</v>
      </c>
      <c r="D31" t="s">
        <v>7</v>
      </c>
      <c r="E31" t="s">
        <v>307</v>
      </c>
    </row>
    <row r="32" spans="1:5" x14ac:dyDescent="0.25">
      <c r="A32" s="6">
        <f t="shared" si="0"/>
        <v>31</v>
      </c>
      <c r="B32" t="str">
        <f>'File Manipulation'!M1</f>
        <v>ActionSelectLosecontrol</v>
      </c>
      <c r="C32" s="5" t="s">
        <v>4</v>
      </c>
      <c r="D32" t="s">
        <v>6</v>
      </c>
      <c r="E32" t="s">
        <v>307</v>
      </c>
    </row>
    <row r="33" spans="1:5" x14ac:dyDescent="0.25">
      <c r="A33" s="6">
        <f t="shared" si="0"/>
        <v>32</v>
      </c>
      <c r="B33" t="str">
        <f>'File Manipulation'!A1</f>
        <v>FileManagementTesting</v>
      </c>
      <c r="C33" s="5" t="s">
        <v>301</v>
      </c>
      <c r="D33" t="s">
        <v>7</v>
      </c>
      <c r="E33" t="s">
        <v>307</v>
      </c>
    </row>
    <row r="34" spans="1:5" x14ac:dyDescent="0.25">
      <c r="A34" s="6">
        <f t="shared" ref="A34:A65" si="1">ROW()-1</f>
        <v>33</v>
      </c>
      <c r="B34" t="str">
        <f>Import!A1</f>
        <v>Import Select Redundant Name</v>
      </c>
      <c r="C34" s="5" t="s">
        <v>4</v>
      </c>
      <c r="D34" t="s">
        <v>6</v>
      </c>
      <c r="E34" t="s">
        <v>308</v>
      </c>
    </row>
    <row r="35" spans="1:5" x14ac:dyDescent="0.25">
      <c r="A35" s="6">
        <f t="shared" si="1"/>
        <v>34</v>
      </c>
      <c r="B35" t="str">
        <f>Modify!G1</f>
        <v>Completed Element Modification</v>
      </c>
      <c r="C35" s="5" t="s">
        <v>4</v>
      </c>
      <c r="D35" t="s">
        <v>6</v>
      </c>
      <c r="E35" t="s">
        <v>309</v>
      </c>
    </row>
    <row r="36" spans="1:5" x14ac:dyDescent="0.25">
      <c r="A36" s="6">
        <f t="shared" si="1"/>
        <v>35</v>
      </c>
      <c r="B36" t="str">
        <f>Modify!M1</f>
        <v>Modify into Redundant Element Name</v>
      </c>
      <c r="C36" s="5" t="s">
        <v>4</v>
      </c>
      <c r="D36" t="s">
        <v>8</v>
      </c>
      <c r="E36" t="s">
        <v>309</v>
      </c>
    </row>
    <row r="37" spans="1:5" x14ac:dyDescent="0.25">
      <c r="A37" s="6">
        <f t="shared" si="1"/>
        <v>36</v>
      </c>
      <c r="B37" t="str">
        <f>Modify!A1</f>
        <v>No Element to Modify</v>
      </c>
      <c r="C37" s="5" t="s">
        <v>4</v>
      </c>
      <c r="D37" t="s">
        <v>6</v>
      </c>
      <c r="E37" t="s">
        <v>309</v>
      </c>
    </row>
    <row r="38" spans="1:5" x14ac:dyDescent="0.25">
      <c r="A38" s="6">
        <f t="shared" si="1"/>
        <v>37</v>
      </c>
      <c r="B38" t="str">
        <f>'Unit XMLHandlerTests'!AC1</f>
        <v>Check For Dependencies Adds Dependent Elements When Dependencies Exist</v>
      </c>
      <c r="C38" s="5" t="s">
        <v>301</v>
      </c>
      <c r="E38" t="s">
        <v>303</v>
      </c>
    </row>
    <row r="39" spans="1:5" x14ac:dyDescent="0.25">
      <c r="A39" s="6">
        <f t="shared" si="1"/>
        <v>38</v>
      </c>
      <c r="B39" t="str">
        <f>'Unit XMLHandlerTests'!AQ1</f>
        <v>Check For Dependencies Handles Parent Module When Not Local</v>
      </c>
      <c r="C39" s="5" t="s">
        <v>5</v>
      </c>
      <c r="E39" t="s">
        <v>303</v>
      </c>
    </row>
    <row r="40" spans="1:5" x14ac:dyDescent="0.25">
      <c r="A40" s="6">
        <f t="shared" si="1"/>
        <v>39</v>
      </c>
      <c r="B40" t="str">
        <f>'Unit XMLHandlerTests'!BE1</f>
        <v>Check For Dependencies Handles Task With Scheduled Programs</v>
      </c>
      <c r="C40" s="5" t="s">
        <v>301</v>
      </c>
      <c r="E40" t="s">
        <v>303</v>
      </c>
    </row>
    <row r="41" spans="1:5" x14ac:dyDescent="0.25">
      <c r="A41" s="6">
        <f t="shared" si="1"/>
        <v>40</v>
      </c>
      <c r="B41" t="str">
        <f>'Unit XMLHandlerTests'!AJ1</f>
        <v>Check For Dependencies Skips Dependencies When Already Exist</v>
      </c>
      <c r="C41" s="5" t="s">
        <v>301</v>
      </c>
      <c r="E41" t="s">
        <v>303</v>
      </c>
    </row>
    <row r="42" spans="1:5" x14ac:dyDescent="0.25">
      <c r="A42" s="6">
        <f t="shared" si="1"/>
        <v>41</v>
      </c>
      <c r="B42" t="str">
        <f>'Unit XMLHandlerTests'!AX1</f>
        <v>Check For Dependencies With List Processes All Elements</v>
      </c>
      <c r="C42" s="5" t="s">
        <v>301</v>
      </c>
      <c r="E42" t="s">
        <v>303</v>
      </c>
    </row>
    <row r="43" spans="1:5" x14ac:dyDescent="0.25">
      <c r="A43" s="6">
        <f t="shared" si="1"/>
        <v>42</v>
      </c>
      <c r="B43" t="str">
        <f>'Unit XMLHandlerTests'!A1</f>
        <v>Constructor Sets Validator And Disambiguator</v>
      </c>
      <c r="C43" s="5" t="s">
        <v>301</v>
      </c>
      <c r="E43" t="s">
        <v>303</v>
      </c>
    </row>
    <row r="44" spans="1:5" x14ac:dyDescent="0.25">
      <c r="A44" s="6">
        <f t="shared" si="1"/>
        <v>43</v>
      </c>
      <c r="B44" t="str">
        <f>'Unit XMLHandlerTests'!EY1</f>
        <v>Element Info Is Initialized</v>
      </c>
      <c r="C44" s="5" t="s">
        <v>301</v>
      </c>
      <c r="E44" t="s">
        <v>303</v>
      </c>
    </row>
    <row r="45" spans="1:5" x14ac:dyDescent="0.25">
      <c r="A45" s="6">
        <f t="shared" si="1"/>
        <v>44</v>
      </c>
      <c r="B45" t="str">
        <f>'Unit XMLHandlerTests'!BZ1</f>
        <v>Find Pathto Root Schema Handles Ambiguous Path With Disambiguator</v>
      </c>
      <c r="C45" s="5" t="s">
        <v>301</v>
      </c>
      <c r="E45" t="s">
        <v>303</v>
      </c>
    </row>
    <row r="46" spans="1:5" x14ac:dyDescent="0.25">
      <c r="A46" s="6">
        <f t="shared" si="1"/>
        <v>45</v>
      </c>
      <c r="B46" t="str">
        <f>'Unit XMLHandlerTests'!BL1</f>
        <v>Find Pathto Root Schema Returns Path Queue For Valid Element</v>
      </c>
      <c r="C46" s="5" t="s">
        <v>301</v>
      </c>
      <c r="E46" t="s">
        <v>303</v>
      </c>
    </row>
    <row r="47" spans="1:5" x14ac:dyDescent="0.25">
      <c r="A47" s="6">
        <f t="shared" si="1"/>
        <v>46</v>
      </c>
      <c r="B47" t="str">
        <f>'Unit XMLHandlerTests'!CG1</f>
        <v>FindPathtoRootSchema Throws Exception When Ambiguous And No Disambiguator</v>
      </c>
      <c r="C47" s="5" t="s">
        <v>5</v>
      </c>
      <c r="E47" t="s">
        <v>303</v>
      </c>
    </row>
    <row r="48" spans="1:5" x14ac:dyDescent="0.25">
      <c r="A48" s="6">
        <f t="shared" si="1"/>
        <v>47</v>
      </c>
      <c r="B48" t="str">
        <f>'Unit XMLHandlerTests'!BS1</f>
        <v>FindPathtoRootSchema Throws Exception When Starting At Root</v>
      </c>
      <c r="C48" s="5" t="s">
        <v>301</v>
      </c>
      <c r="E48" t="s">
        <v>303</v>
      </c>
    </row>
    <row r="49" spans="1:5" x14ac:dyDescent="0.25">
      <c r="A49" s="6">
        <f t="shared" si="1"/>
        <v>48</v>
      </c>
      <c r="B49" t="str">
        <f>'Unit XMLHandlerTests'!CN1</f>
        <v>Get Attributes Returns All Attributes For Element</v>
      </c>
      <c r="C49" s="5" t="s">
        <v>301</v>
      </c>
      <c r="E49" t="s">
        <v>303</v>
      </c>
    </row>
    <row r="50" spans="1:5" x14ac:dyDescent="0.25">
      <c r="A50" s="6">
        <f t="shared" si="1"/>
        <v>49</v>
      </c>
      <c r="B50" t="str">
        <f>'Unit XMLHandlerTests'!CU1</f>
        <v>Get Attributes With Multiple Elements Returns List Of Attribute Lists</v>
      </c>
      <c r="C50" s="5" t="s">
        <v>5</v>
      </c>
      <c r="E50" t="s">
        <v>303</v>
      </c>
    </row>
    <row r="51" spans="1:5" x14ac:dyDescent="0.25">
      <c r="A51" s="6">
        <f t="shared" si="1"/>
        <v>50</v>
      </c>
      <c r="B51" t="str">
        <f>'Unit XMLHandlerTests'!O1</f>
        <v>Get Element Types Returns Valid Types From Document</v>
      </c>
      <c r="C51" s="5" t="s">
        <v>301</v>
      </c>
      <c r="E51" t="s">
        <v>303</v>
      </c>
    </row>
    <row r="52" spans="1:5" x14ac:dyDescent="0.25">
      <c r="A52" s="6">
        <f t="shared" si="1"/>
        <v>51</v>
      </c>
      <c r="B52" t="str">
        <f>'Unit XMLHandlerTests'!H1</f>
        <v>Get Simple Elements Returns List Of Elements Excluding Custom Properties</v>
      </c>
      <c r="C52" s="5" t="s">
        <v>301</v>
      </c>
      <c r="E52" t="s">
        <v>303</v>
      </c>
    </row>
    <row r="53" spans="1:5" x14ac:dyDescent="0.25">
      <c r="A53" s="6">
        <f t="shared" si="1"/>
        <v>52</v>
      </c>
      <c r="B53" t="str">
        <f>'Unit XMLHandlerTests'!EK1</f>
        <v>Get Validator Returns Validation Service</v>
      </c>
      <c r="C53" s="5" t="s">
        <v>301</v>
      </c>
      <c r="E53" t="s">
        <v>303</v>
      </c>
    </row>
    <row r="54" spans="1:5" x14ac:dyDescent="0.25">
      <c r="A54" s="6">
        <f t="shared" si="1"/>
        <v>53</v>
      </c>
      <c r="B54" t="str">
        <f>'Unit XMLHandlerTests'!V1</f>
        <v>GetElementTypes Throws EmptyListException When No Valid Elements</v>
      </c>
      <c r="C54" s="5" t="s">
        <v>301</v>
      </c>
      <c r="E54" t="s">
        <v>303</v>
      </c>
    </row>
    <row r="55" spans="1:5" x14ac:dyDescent="0.25">
      <c r="A55" s="6">
        <f t="shared" si="1"/>
        <v>54</v>
      </c>
      <c r="B55" t="str">
        <f>'Unit XMLHandlerTests'!DI1</f>
        <v>Insert Element Adds Element To Document</v>
      </c>
      <c r="C55" s="5" t="s">
        <v>301</v>
      </c>
      <c r="E55" t="s">
        <v>303</v>
      </c>
    </row>
    <row r="56" spans="1:5" x14ac:dyDescent="0.25">
      <c r="A56" s="6">
        <f t="shared" si="1"/>
        <v>55</v>
      </c>
      <c r="B56" t="str">
        <f>'Unit XMLHandlerTests'!ED1</f>
        <v>Insert Element Handles Modules With Catalog Number</v>
      </c>
      <c r="C56" s="5" t="s">
        <v>315</v>
      </c>
      <c r="E56" t="s">
        <v>303</v>
      </c>
    </row>
    <row r="57" spans="1:5" x14ac:dyDescent="0.25">
      <c r="A57" s="6">
        <f t="shared" si="1"/>
        <v>56</v>
      </c>
      <c r="B57" t="str">
        <f>'Unit XMLHandlerTests'!DW1</f>
        <v>Insert Element With List Inserts All Elements</v>
      </c>
      <c r="C57" s="5" t="s">
        <v>301</v>
      </c>
      <c r="E57" t="s">
        <v>303</v>
      </c>
    </row>
    <row r="58" spans="1:5" x14ac:dyDescent="0.25">
      <c r="A58" s="6">
        <f t="shared" si="1"/>
        <v>57</v>
      </c>
      <c r="B58" t="str">
        <f>'Unit XMLHandlerTests'!DP1</f>
        <v>InsertElement Throws Exception When Element Already Exists</v>
      </c>
      <c r="C58" s="5" t="s">
        <v>301</v>
      </c>
      <c r="E58" t="s">
        <v>303</v>
      </c>
    </row>
    <row r="59" spans="1:5" x14ac:dyDescent="0.25">
      <c r="A59" s="6">
        <f t="shared" si="1"/>
        <v>58</v>
      </c>
      <c r="B59" t="str">
        <f>'Unit XMLHandlerTests'!DB1</f>
        <v>Load Basic File Returns XDocument</v>
      </c>
      <c r="C59" s="5" t="s">
        <v>301</v>
      </c>
      <c r="E59" t="s">
        <v>303</v>
      </c>
    </row>
    <row r="60" spans="1:5" x14ac:dyDescent="0.25">
      <c r="A60" s="6">
        <f t="shared" si="1"/>
        <v>59</v>
      </c>
      <c r="B60" t="str">
        <f>'Unit XMLHandlerTests'!ER1</f>
        <v>Namespace Is Correct</v>
      </c>
      <c r="C60" s="5" t="s">
        <v>301</v>
      </c>
      <c r="E60" t="s">
        <v>303</v>
      </c>
    </row>
    <row r="61" spans="1:5" x14ac:dyDescent="0.25">
      <c r="A61" s="6">
        <f t="shared" si="1"/>
        <v>60</v>
      </c>
      <c r="B61" t="s">
        <v>317</v>
      </c>
      <c r="C61" s="5" t="s">
        <v>4</v>
      </c>
    </row>
    <row r="62" spans="1:5" x14ac:dyDescent="0.25">
      <c r="A62" s="6">
        <f t="shared" si="1"/>
        <v>61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ref="A66:A72" si="2">ROW()-1</f>
        <v>65</v>
      </c>
    </row>
    <row r="67" spans="1:1" x14ac:dyDescent="0.25">
      <c r="A67" s="6">
        <f t="shared" si="2"/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D2:D48 D50:D1048576 B51" xr:uid="{00000000-0002-0000-0000-000001000000}">
      <formula1>"Low,Medium,High"</formula1>
    </dataValidation>
    <dataValidation type="list" allowBlank="1" showInputMessage="1" showErrorMessage="1" sqref="B50 C2:C1048576" xr:uid="{00000000-0002-0000-0000-000000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opLeftCell="A15" workbookViewId="0">
      <selection activeCell="A26" sqref="A26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20" t="s">
        <v>9</v>
      </c>
      <c r="B1" s="19"/>
      <c r="C1" s="19"/>
      <c r="D1" s="21"/>
      <c r="E1" s="19"/>
      <c r="F1" s="22"/>
    </row>
    <row r="2" spans="1:6" x14ac:dyDescent="0.25">
      <c r="A2" s="18" t="s">
        <v>10</v>
      </c>
      <c r="B2" s="19"/>
      <c r="C2" s="6">
        <f>IFERROR(_xlfn.XLOOKUP(A1, TestMaster[Test Name], TestMaster[Test ID], "ID not found"), "")</f>
        <v>33</v>
      </c>
      <c r="E2" t="s">
        <v>11</v>
      </c>
    </row>
    <row r="3" spans="1:6" ht="16.5" customHeight="1" x14ac:dyDescent="0.25">
      <c r="A3" s="18" t="s">
        <v>12</v>
      </c>
      <c r="B3" s="19"/>
      <c r="C3" s="8" t="str">
        <f>IFERROR(_xlfn.XLOOKUP(A1, TestMaster[Test Name], TestMaster[Test Priority], "Priority not found"), "")</f>
        <v>Medium</v>
      </c>
      <c r="E3" t="s">
        <v>13</v>
      </c>
      <c r="F3" s="7" t="str">
        <f>IFERROR(_xlfn.XLOOKUP(A1, TestMaster[Test Name], TestMaster[Test Status], "Status not found"), "")</f>
        <v>Not Implemented</v>
      </c>
    </row>
    <row r="4" spans="1:6" x14ac:dyDescent="0.25">
      <c r="A4" s="20" t="s">
        <v>14</v>
      </c>
      <c r="B4" s="19"/>
      <c r="C4" s="19"/>
      <c r="D4" s="21"/>
      <c r="E4" s="19"/>
      <c r="F4" s="22"/>
    </row>
    <row r="5" spans="1:6" x14ac:dyDescent="0.25">
      <c r="A5" s="19"/>
      <c r="B5" s="19"/>
      <c r="C5" s="19"/>
      <c r="D5" s="21"/>
      <c r="E5" s="19"/>
      <c r="F5" s="22"/>
    </row>
    <row r="6" spans="1:6" x14ac:dyDescent="0.25">
      <c r="A6" s="20" t="s">
        <v>15</v>
      </c>
      <c r="B6" s="19"/>
      <c r="C6" s="19"/>
      <c r="D6" s="21"/>
      <c r="E6" s="19"/>
      <c r="F6" s="22"/>
    </row>
    <row r="7" spans="1:6" x14ac:dyDescent="0.25">
      <c r="A7" s="1" t="s">
        <v>16</v>
      </c>
      <c r="B7" s="1" t="s">
        <v>17</v>
      </c>
      <c r="C7" s="1" t="s">
        <v>18</v>
      </c>
      <c r="D7" s="9" t="s">
        <v>19</v>
      </c>
      <c r="E7" s="1" t="s">
        <v>20</v>
      </c>
      <c r="F7" s="10" t="s">
        <v>21</v>
      </c>
    </row>
    <row r="8" spans="1:6" x14ac:dyDescent="0.25">
      <c r="A8">
        <v>1</v>
      </c>
      <c r="B8" t="s">
        <v>22</v>
      </c>
      <c r="C8" t="s">
        <v>23</v>
      </c>
      <c r="D8" s="2" t="s">
        <v>24</v>
      </c>
    </row>
    <row r="9" spans="1:6" ht="29.1" customHeight="1" x14ac:dyDescent="0.25">
      <c r="A9" s="4">
        <f t="shared" ref="A9:A25" si="0">A8+1</f>
        <v>2</v>
      </c>
      <c r="B9" s="3" t="s">
        <v>25</v>
      </c>
      <c r="C9" s="3" t="s">
        <v>26</v>
      </c>
      <c r="D9" s="3" t="s">
        <v>27</v>
      </c>
    </row>
    <row r="10" spans="1:6" ht="30" x14ac:dyDescent="0.25">
      <c r="A10" s="4">
        <f t="shared" si="0"/>
        <v>3</v>
      </c>
      <c r="B10" s="3" t="s">
        <v>28</v>
      </c>
      <c r="C10" s="3" t="s">
        <v>29</v>
      </c>
      <c r="D10" s="3" t="s">
        <v>30</v>
      </c>
    </row>
    <row r="11" spans="1:6" ht="30" x14ac:dyDescent="0.25">
      <c r="A11" s="4">
        <f t="shared" si="0"/>
        <v>4</v>
      </c>
      <c r="B11" s="3" t="s">
        <v>31</v>
      </c>
      <c r="C11" s="3" t="s">
        <v>32</v>
      </c>
      <c r="D11" s="3" t="s">
        <v>33</v>
      </c>
    </row>
    <row r="12" spans="1:6" x14ac:dyDescent="0.25">
      <c r="A12" s="4">
        <f t="shared" si="0"/>
        <v>5</v>
      </c>
      <c r="B12" s="3" t="s">
        <v>34</v>
      </c>
      <c r="C12" s="3" t="s">
        <v>35</v>
      </c>
      <c r="D12" s="2" t="s">
        <v>36</v>
      </c>
    </row>
    <row r="13" spans="1:6" ht="30" x14ac:dyDescent="0.25">
      <c r="A13" s="4">
        <f t="shared" si="0"/>
        <v>6</v>
      </c>
      <c r="B13" s="3" t="s">
        <v>28</v>
      </c>
      <c r="C13" s="3" t="s">
        <v>29</v>
      </c>
      <c r="D13" s="3" t="s">
        <v>30</v>
      </c>
    </row>
    <row r="14" spans="1:6" ht="30" x14ac:dyDescent="0.25">
      <c r="A14" s="4">
        <f t="shared" si="0"/>
        <v>7</v>
      </c>
      <c r="B14" s="3" t="s">
        <v>31</v>
      </c>
      <c r="C14" s="3" t="s">
        <v>32</v>
      </c>
      <c r="D14" s="3" t="s">
        <v>37</v>
      </c>
    </row>
    <row r="15" spans="1:6" ht="29.1" customHeight="1" x14ac:dyDescent="0.25">
      <c r="A15" s="4">
        <f t="shared" si="0"/>
        <v>8</v>
      </c>
      <c r="B15" t="s">
        <v>38</v>
      </c>
      <c r="C15" t="s">
        <v>39</v>
      </c>
      <c r="D15" s="2" t="s">
        <v>40</v>
      </c>
    </row>
    <row r="16" spans="1:6" x14ac:dyDescent="0.25">
      <c r="A16" s="4">
        <f t="shared" si="0"/>
        <v>9</v>
      </c>
      <c r="B16" s="3" t="s">
        <v>34</v>
      </c>
      <c r="C16" s="3" t="s">
        <v>35</v>
      </c>
      <c r="D16" s="2" t="s">
        <v>36</v>
      </c>
    </row>
    <row r="17" spans="1:4" ht="30" x14ac:dyDescent="0.25">
      <c r="A17" s="4">
        <f t="shared" si="0"/>
        <v>10</v>
      </c>
      <c r="B17" s="3" t="s">
        <v>28</v>
      </c>
      <c r="C17" s="3" t="s">
        <v>29</v>
      </c>
      <c r="D17" s="3" t="s">
        <v>30</v>
      </c>
    </row>
    <row r="18" spans="1:4" ht="30" x14ac:dyDescent="0.25">
      <c r="A18" s="4">
        <f t="shared" si="0"/>
        <v>11</v>
      </c>
      <c r="B18" s="3" t="s">
        <v>31</v>
      </c>
      <c r="C18" s="3" t="s">
        <v>32</v>
      </c>
      <c r="D18" s="3" t="s">
        <v>41</v>
      </c>
    </row>
    <row r="19" spans="1:4" x14ac:dyDescent="0.25">
      <c r="A19" s="4">
        <f t="shared" si="0"/>
        <v>12</v>
      </c>
      <c r="B19" t="s">
        <v>38</v>
      </c>
      <c r="C19" t="s">
        <v>42</v>
      </c>
      <c r="D19" s="2" t="s">
        <v>43</v>
      </c>
    </row>
    <row r="20" spans="1:4" x14ac:dyDescent="0.25">
      <c r="A20" s="4">
        <f t="shared" si="0"/>
        <v>13</v>
      </c>
      <c r="B20" s="3" t="s">
        <v>34</v>
      </c>
      <c r="C20" s="3" t="s">
        <v>35</v>
      </c>
      <c r="D20" s="2" t="s">
        <v>36</v>
      </c>
    </row>
    <row r="21" spans="1:4" x14ac:dyDescent="0.25">
      <c r="A21" s="4">
        <f t="shared" si="0"/>
        <v>14</v>
      </c>
      <c r="B21" t="s">
        <v>38</v>
      </c>
      <c r="C21" t="s">
        <v>44</v>
      </c>
      <c r="D21" s="2" t="s">
        <v>45</v>
      </c>
    </row>
    <row r="22" spans="1:4" x14ac:dyDescent="0.25">
      <c r="A22" s="4">
        <f t="shared" si="0"/>
        <v>15</v>
      </c>
      <c r="B22" t="s">
        <v>46</v>
      </c>
      <c r="C22" s="3" t="s">
        <v>47</v>
      </c>
      <c r="D22" s="2" t="s">
        <v>48</v>
      </c>
    </row>
    <row r="23" spans="1:4" x14ac:dyDescent="0.25">
      <c r="A23" s="4">
        <f t="shared" si="0"/>
        <v>16</v>
      </c>
      <c r="B23" t="s">
        <v>38</v>
      </c>
      <c r="C23" t="s">
        <v>44</v>
      </c>
      <c r="D23" s="2" t="s">
        <v>45</v>
      </c>
    </row>
    <row r="24" spans="1:4" x14ac:dyDescent="0.25">
      <c r="A24" s="4">
        <f t="shared" si="0"/>
        <v>17</v>
      </c>
      <c r="B24" t="s">
        <v>49</v>
      </c>
      <c r="C24" t="s">
        <v>50</v>
      </c>
      <c r="D24" s="2" t="s">
        <v>51</v>
      </c>
    </row>
    <row r="25" spans="1:4" x14ac:dyDescent="0.25">
      <c r="A25" s="4">
        <f t="shared" si="0"/>
        <v>18</v>
      </c>
      <c r="B25" s="3" t="s">
        <v>34</v>
      </c>
      <c r="C25" s="3" t="s">
        <v>52</v>
      </c>
      <c r="D25" s="2" t="s">
        <v>53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1"/>
  <sheetViews>
    <sheetView topLeftCell="K1" zoomScaleNormal="100" workbookViewId="0">
      <selection activeCell="T1" sqref="T1:Y15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16384" width="8.7109375" style="4"/>
  </cols>
  <sheetData>
    <row r="1" spans="1:25" x14ac:dyDescent="0.25">
      <c r="A1" s="20" t="s">
        <v>54</v>
      </c>
      <c r="B1" s="23"/>
      <c r="C1" s="23"/>
      <c r="D1" s="23"/>
      <c r="E1" s="23"/>
      <c r="F1" s="22"/>
      <c r="G1" s="20" t="s">
        <v>55</v>
      </c>
      <c r="H1" s="23"/>
      <c r="I1" s="23"/>
      <c r="J1" s="23"/>
      <c r="K1" s="23"/>
      <c r="L1" s="22"/>
      <c r="M1" s="18" t="s">
        <v>56</v>
      </c>
      <c r="N1" s="23"/>
      <c r="O1" s="23"/>
      <c r="P1" s="23"/>
      <c r="Q1" s="23"/>
      <c r="R1" s="23"/>
      <c r="T1" s="18"/>
      <c r="U1" s="23"/>
      <c r="V1" s="23"/>
      <c r="W1" s="23"/>
      <c r="X1" s="23"/>
      <c r="Y1" s="23"/>
    </row>
    <row r="2" spans="1:25" x14ac:dyDescent="0.25">
      <c r="A2" s="18" t="s">
        <v>10</v>
      </c>
      <c r="B2" s="23"/>
      <c r="C2">
        <f>IFERROR(_xlfn.XLOOKUP(A1, TestMaster[Test Name], TestMaster[Test ID], "ID not found"), "")</f>
        <v>24</v>
      </c>
      <c r="E2" t="s">
        <v>11</v>
      </c>
      <c r="F2" s="7"/>
      <c r="G2" s="18" t="s">
        <v>10</v>
      </c>
      <c r="H2" s="23"/>
      <c r="I2">
        <f>IFERROR(_xlfn.XLOOKUP(G1, TestMaster[Test Name], TestMaster[Test ID], "ID not found"), "")</f>
        <v>25</v>
      </c>
      <c r="K2" t="s">
        <v>11</v>
      </c>
      <c r="L2" s="7"/>
      <c r="M2" s="18" t="s">
        <v>10</v>
      </c>
      <c r="N2" s="23"/>
      <c r="O2">
        <f>IFERROR(_xlfn.XLOOKUP(M1, TestMaster[Test Name], TestMaster[Test ID], "ID not found"), "")</f>
        <v>26</v>
      </c>
      <c r="Q2" t="s">
        <v>11</v>
      </c>
      <c r="T2" s="18"/>
      <c r="U2" s="23"/>
      <c r="V2"/>
      <c r="X2"/>
    </row>
    <row r="3" spans="1:25" x14ac:dyDescent="0.25">
      <c r="A3" s="18" t="s">
        <v>12</v>
      </c>
      <c r="B3" s="23"/>
      <c r="C3" t="str">
        <f>IFERROR(_xlfn.XLOOKUP(A1, TestMaster[Test Name], TestMaster[Test Priority], "Priority not found"), "")</f>
        <v>High</v>
      </c>
      <c r="E3" t="s">
        <v>13</v>
      </c>
      <c r="F3" s="7" t="str">
        <f>IFERROR(_xlfn.XLOOKUP(A1, TestMaster[Test Name], TestMaster[Test Status], "Status not found"), "")</f>
        <v>Not Implemented</v>
      </c>
      <c r="G3" s="18" t="s">
        <v>12</v>
      </c>
      <c r="H3" s="23"/>
      <c r="I3" t="str">
        <f>IFERROR(_xlfn.XLOOKUP(G1, TestMaster[Test Name], TestMaster[Test Priority], "Priority not found"), "")</f>
        <v>Medium</v>
      </c>
      <c r="K3" t="s">
        <v>13</v>
      </c>
      <c r="L3" s="7" t="str">
        <f>IFERROR(_xlfn.XLOOKUP(G1, TestMaster[Test Name], TestMaster[Test Status], "Status not found"), "")</f>
        <v>Not Implemented</v>
      </c>
      <c r="M3" s="18" t="s">
        <v>12</v>
      </c>
      <c r="N3" s="23"/>
      <c r="O3" t="str">
        <f>IFERROR(_xlfn.XLOOKUP(M1, TestMaster[Test Name], TestMaster[Test Priority], "Priority not found"), "")</f>
        <v>Low</v>
      </c>
      <c r="Q3" t="s">
        <v>13</v>
      </c>
      <c r="R3" t="str">
        <f>IFERROR(_xlfn.XLOOKUP(M1, TestMaster[Test Name], TestMaster[Test Status], "Status not found"), "")</f>
        <v>Not Implemented</v>
      </c>
      <c r="T3" s="18"/>
      <c r="U3" s="23"/>
      <c r="V3"/>
      <c r="X3"/>
      <c r="Y3"/>
    </row>
    <row r="4" spans="1:25" x14ac:dyDescent="0.25">
      <c r="A4" s="20" t="s">
        <v>316</v>
      </c>
      <c r="B4" s="23"/>
      <c r="C4" s="23"/>
      <c r="D4" s="23"/>
      <c r="E4" s="23"/>
      <c r="F4" s="22"/>
      <c r="G4" s="20" t="s">
        <v>57</v>
      </c>
      <c r="H4" s="23"/>
      <c r="I4" s="23"/>
      <c r="J4" s="23"/>
      <c r="K4" s="23"/>
      <c r="L4" s="22"/>
      <c r="M4" s="18" t="s">
        <v>57</v>
      </c>
      <c r="N4" s="23"/>
      <c r="O4" s="23"/>
      <c r="P4" s="23"/>
      <c r="Q4" s="23"/>
      <c r="R4" s="23"/>
      <c r="T4" s="18"/>
      <c r="U4" s="23"/>
      <c r="V4" s="23"/>
      <c r="W4" s="23"/>
      <c r="X4" s="23"/>
      <c r="Y4" s="23"/>
    </row>
    <row r="5" spans="1:25" x14ac:dyDescent="0.25">
      <c r="A5" s="23"/>
      <c r="B5" s="23"/>
      <c r="C5" s="23"/>
      <c r="D5" s="23"/>
      <c r="E5" s="23"/>
      <c r="F5" s="22"/>
      <c r="G5" s="23"/>
      <c r="H5" s="23"/>
      <c r="I5" s="23"/>
      <c r="J5" s="23"/>
      <c r="K5" s="23"/>
      <c r="L5" s="22"/>
      <c r="M5" s="23"/>
      <c r="N5" s="23"/>
      <c r="O5" s="23"/>
      <c r="P5" s="23"/>
      <c r="Q5" s="23"/>
      <c r="R5" s="23"/>
      <c r="T5" s="23"/>
      <c r="U5" s="23"/>
      <c r="V5" s="23"/>
      <c r="W5" s="23"/>
      <c r="X5" s="23"/>
      <c r="Y5" s="23"/>
    </row>
    <row r="6" spans="1:25" x14ac:dyDescent="0.25">
      <c r="A6" s="20" t="s">
        <v>15</v>
      </c>
      <c r="B6" s="23"/>
      <c r="C6" s="23"/>
      <c r="D6" s="23"/>
      <c r="E6" s="23"/>
      <c r="F6" s="22"/>
      <c r="G6" s="20" t="s">
        <v>15</v>
      </c>
      <c r="H6" s="23"/>
      <c r="I6" s="23"/>
      <c r="J6" s="23"/>
      <c r="K6" s="23"/>
      <c r="L6" s="22"/>
      <c r="M6" s="18" t="s">
        <v>15</v>
      </c>
      <c r="N6" s="23"/>
      <c r="O6" s="23"/>
      <c r="P6" s="23"/>
      <c r="Q6" s="23"/>
      <c r="R6" s="23"/>
      <c r="T6" s="18"/>
      <c r="U6" s="23"/>
      <c r="V6" s="23"/>
      <c r="W6" s="23"/>
      <c r="X6" s="23"/>
      <c r="Y6" s="23"/>
    </row>
    <row r="7" spans="1:25" x14ac:dyDescent="0.25">
      <c r="A7" s="1" t="s">
        <v>16</v>
      </c>
      <c r="B7" s="1" t="s">
        <v>17</v>
      </c>
      <c r="C7" s="1" t="s">
        <v>18</v>
      </c>
      <c r="D7" s="1" t="s">
        <v>19</v>
      </c>
      <c r="E7" s="1" t="s">
        <v>20</v>
      </c>
      <c r="F7" s="10" t="s">
        <v>21</v>
      </c>
      <c r="G7" s="1" t="s">
        <v>16</v>
      </c>
      <c r="H7" s="1" t="s">
        <v>17</v>
      </c>
      <c r="I7" s="1" t="s">
        <v>18</v>
      </c>
      <c r="J7" s="1" t="s">
        <v>19</v>
      </c>
      <c r="K7" s="1" t="s">
        <v>20</v>
      </c>
      <c r="L7" s="10" t="s">
        <v>21</v>
      </c>
      <c r="M7" s="1" t="s">
        <v>16</v>
      </c>
      <c r="N7" s="1" t="s">
        <v>17</v>
      </c>
      <c r="O7" s="1" t="s">
        <v>18</v>
      </c>
      <c r="P7" s="1" t="s">
        <v>19</v>
      </c>
      <c r="Q7" s="1" t="s">
        <v>20</v>
      </c>
      <c r="R7" s="1" t="s">
        <v>21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58</v>
      </c>
      <c r="C8" s="3" t="s">
        <v>59</v>
      </c>
      <c r="D8" s="3" t="s">
        <v>27</v>
      </c>
      <c r="G8" s="4">
        <v>1</v>
      </c>
      <c r="H8" s="4" t="s">
        <v>58</v>
      </c>
      <c r="I8" s="3" t="s">
        <v>59</v>
      </c>
      <c r="J8" s="3" t="s">
        <v>27</v>
      </c>
      <c r="M8" s="4">
        <v>1</v>
      </c>
      <c r="N8" s="4" t="s">
        <v>58</v>
      </c>
      <c r="O8" s="3" t="s">
        <v>59</v>
      </c>
      <c r="P8" s="3" t="s">
        <v>27</v>
      </c>
    </row>
    <row r="9" spans="1:25" ht="43.5" customHeight="1" x14ac:dyDescent="0.25">
      <c r="A9" s="4">
        <v>2</v>
      </c>
      <c r="B9" s="3" t="s">
        <v>28</v>
      </c>
      <c r="C9" s="3" t="s">
        <v>29</v>
      </c>
      <c r="D9" s="3" t="s">
        <v>30</v>
      </c>
      <c r="G9" s="4">
        <v>2</v>
      </c>
      <c r="H9" s="4" t="s">
        <v>28</v>
      </c>
      <c r="I9" s="3" t="s">
        <v>60</v>
      </c>
      <c r="J9" s="3" t="s">
        <v>61</v>
      </c>
      <c r="M9" s="4">
        <v>2</v>
      </c>
      <c r="N9" s="4" t="s">
        <v>28</v>
      </c>
      <c r="O9" s="3" t="s">
        <v>29</v>
      </c>
      <c r="P9" s="3" t="s">
        <v>30</v>
      </c>
    </row>
    <row r="10" spans="1:25" ht="29.1" customHeight="1" x14ac:dyDescent="0.25">
      <c r="A10" s="4">
        <v>3</v>
      </c>
      <c r="B10" s="3" t="s">
        <v>62</v>
      </c>
      <c r="C10" s="3" t="s">
        <v>32</v>
      </c>
      <c r="D10" s="3" t="s">
        <v>41</v>
      </c>
      <c r="G10" s="4">
        <v>3</v>
      </c>
      <c r="H10" s="4" t="s">
        <v>62</v>
      </c>
      <c r="I10" s="3" t="s">
        <v>63</v>
      </c>
      <c r="J10" s="3" t="s">
        <v>41</v>
      </c>
      <c r="M10" s="4">
        <v>3</v>
      </c>
      <c r="N10" s="4" t="s">
        <v>62</v>
      </c>
      <c r="O10" s="3" t="s">
        <v>32</v>
      </c>
      <c r="P10" s="3" t="s">
        <v>41</v>
      </c>
    </row>
    <row r="11" spans="1:25" ht="43.5" customHeight="1" x14ac:dyDescent="0.25">
      <c r="A11" s="4">
        <v>4</v>
      </c>
      <c r="B11" s="3" t="s">
        <v>64</v>
      </c>
      <c r="C11" s="3" t="s">
        <v>65</v>
      </c>
      <c r="D11" s="3" t="s">
        <v>66</v>
      </c>
      <c r="G11" s="4">
        <v>4</v>
      </c>
      <c r="H11" s="4" t="s">
        <v>67</v>
      </c>
      <c r="I11" s="3" t="s">
        <v>65</v>
      </c>
      <c r="J11" s="3" t="s">
        <v>68</v>
      </c>
      <c r="M11" s="4">
        <v>4</v>
      </c>
      <c r="N11" s="4" t="s">
        <v>64</v>
      </c>
      <c r="O11" s="3" t="s">
        <v>69</v>
      </c>
      <c r="P11" s="3" t="s">
        <v>66</v>
      </c>
    </row>
    <row r="12" spans="1:25" ht="43.5" customHeight="1" x14ac:dyDescent="0.25">
      <c r="A12" s="4">
        <v>5</v>
      </c>
      <c r="B12" s="3" t="s">
        <v>70</v>
      </c>
      <c r="C12" s="3" t="s">
        <v>71</v>
      </c>
      <c r="D12" s="3" t="s">
        <v>72</v>
      </c>
      <c r="M12" s="4">
        <v>5</v>
      </c>
      <c r="N12" s="4" t="s">
        <v>73</v>
      </c>
      <c r="O12" s="3" t="s">
        <v>74</v>
      </c>
      <c r="P12" s="3" t="s">
        <v>75</v>
      </c>
    </row>
    <row r="13" spans="1:25" ht="29.1" customHeight="1" x14ac:dyDescent="0.25">
      <c r="A13" s="4">
        <v>6</v>
      </c>
      <c r="B13" s="3" t="s">
        <v>76</v>
      </c>
      <c r="C13" s="3" t="s">
        <v>77</v>
      </c>
      <c r="D13" s="3" t="s">
        <v>78</v>
      </c>
      <c r="M13" s="4">
        <v>6</v>
      </c>
      <c r="N13" s="4" t="s">
        <v>79</v>
      </c>
      <c r="O13" s="3" t="s">
        <v>74</v>
      </c>
      <c r="P13" s="3" t="s">
        <v>80</v>
      </c>
    </row>
    <row r="14" spans="1:25" x14ac:dyDescent="0.25">
      <c r="M14">
        <v>7</v>
      </c>
      <c r="N14" t="s">
        <v>38</v>
      </c>
      <c r="O14" t="s">
        <v>39</v>
      </c>
      <c r="P14" t="s">
        <v>81</v>
      </c>
    </row>
    <row r="15" spans="1:25" ht="29.1" customHeight="1" x14ac:dyDescent="0.25">
      <c r="M15" s="4">
        <v>8</v>
      </c>
      <c r="N15" s="4" t="s">
        <v>82</v>
      </c>
      <c r="O15" s="4" t="s">
        <v>74</v>
      </c>
      <c r="P15" s="3" t="s">
        <v>80</v>
      </c>
    </row>
    <row r="16" spans="1:25" x14ac:dyDescent="0.25">
      <c r="M16">
        <v>9</v>
      </c>
      <c r="N16" t="s">
        <v>38</v>
      </c>
      <c r="O16" t="s">
        <v>42</v>
      </c>
      <c r="P16" t="s">
        <v>43</v>
      </c>
    </row>
    <row r="17" spans="13:16" ht="29.1" customHeight="1" x14ac:dyDescent="0.25">
      <c r="M17">
        <v>10</v>
      </c>
      <c r="N17" s="4" t="s">
        <v>83</v>
      </c>
      <c r="O17" s="4" t="s">
        <v>74</v>
      </c>
      <c r="P17" s="3" t="s">
        <v>80</v>
      </c>
    </row>
    <row r="18" spans="13:16" x14ac:dyDescent="0.25">
      <c r="M18" s="4">
        <v>11</v>
      </c>
      <c r="N18" t="s">
        <v>38</v>
      </c>
      <c r="O18" t="s">
        <v>44</v>
      </c>
      <c r="P18" t="s">
        <v>45</v>
      </c>
    </row>
    <row r="19" spans="13:16" x14ac:dyDescent="0.25">
      <c r="M19">
        <v>12</v>
      </c>
      <c r="N19" t="s">
        <v>46</v>
      </c>
      <c r="O19" t="s">
        <v>74</v>
      </c>
      <c r="P19" t="s">
        <v>48</v>
      </c>
    </row>
    <row r="20" spans="13:16" x14ac:dyDescent="0.25">
      <c r="M20" s="4">
        <v>13</v>
      </c>
      <c r="N20" t="s">
        <v>38</v>
      </c>
      <c r="O20" t="s">
        <v>44</v>
      </c>
      <c r="P20" t="s">
        <v>45</v>
      </c>
    </row>
    <row r="21" spans="13:16" x14ac:dyDescent="0.25">
      <c r="M21">
        <v>14</v>
      </c>
      <c r="N21" t="s">
        <v>49</v>
      </c>
      <c r="O21" t="s">
        <v>50</v>
      </c>
      <c r="P21" t="s">
        <v>51</v>
      </c>
    </row>
  </sheetData>
  <mergeCells count="20">
    <mergeCell ref="T1:Y1"/>
    <mergeCell ref="T2:U2"/>
    <mergeCell ref="T3:U3"/>
    <mergeCell ref="T4:Y5"/>
    <mergeCell ref="T6:Y6"/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5"/>
  <sheetViews>
    <sheetView workbookViewId="0">
      <selection activeCell="G1" activeCellId="2" sqref="G6:L6 G4:L5 G1:L1"/>
    </sheetView>
  </sheetViews>
  <sheetFormatPr defaultRowHeight="15" x14ac:dyDescent="0.25"/>
  <cols>
    <col min="1" max="1" width="5" customWidth="1"/>
    <col min="2" max="2" width="22.140625" bestFit="1" customWidth="1"/>
    <col min="3" max="3" width="11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0.42578125" customWidth="1"/>
    <col min="9" max="9" width="27.5703125" bestFit="1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20" t="s">
        <v>84</v>
      </c>
      <c r="B1" s="19"/>
      <c r="C1" s="19"/>
      <c r="D1" s="19"/>
      <c r="E1" s="19"/>
      <c r="F1" s="22"/>
      <c r="G1" s="24" t="s">
        <v>85</v>
      </c>
      <c r="H1" s="19"/>
      <c r="I1" s="19"/>
      <c r="J1" s="19"/>
      <c r="K1" s="19"/>
      <c r="L1" s="22"/>
      <c r="M1" s="18" t="s">
        <v>86</v>
      </c>
      <c r="N1" s="19"/>
      <c r="O1" s="19"/>
      <c r="P1" s="19"/>
      <c r="Q1" s="19"/>
      <c r="R1" s="19"/>
    </row>
    <row r="2" spans="1:18" x14ac:dyDescent="0.25">
      <c r="A2" s="18" t="s">
        <v>10</v>
      </c>
      <c r="B2" s="19"/>
      <c r="C2" s="6">
        <f>IFERROR(_xlfn.XLOOKUP(A1, TestMaster[Test Name], TestMaster[Test ID], "ID not found"), "")</f>
        <v>36</v>
      </c>
      <c r="E2" t="s">
        <v>11</v>
      </c>
      <c r="G2" s="18" t="s">
        <v>10</v>
      </c>
      <c r="H2" s="19"/>
      <c r="I2" s="6">
        <f>IFERROR(_xlfn.XLOOKUP(G1, TestMaster[Test Name], TestMaster[Test ID], "ID not found"), "")</f>
        <v>34</v>
      </c>
      <c r="K2" t="s">
        <v>11</v>
      </c>
      <c r="M2" s="18" t="s">
        <v>10</v>
      </c>
      <c r="N2" s="19"/>
      <c r="O2" s="12">
        <f>IFERROR(_xlfn.XLOOKUP(M1, TestMaster[Test Name], TestMaster[Test ID], "ID not found"), "")</f>
        <v>35</v>
      </c>
      <c r="Q2" t="s">
        <v>11</v>
      </c>
    </row>
    <row r="3" spans="1:18" x14ac:dyDescent="0.25">
      <c r="A3" s="18" t="s">
        <v>12</v>
      </c>
      <c r="B3" s="19"/>
      <c r="C3" s="6" t="str">
        <f>IFERROR(_xlfn.XLOOKUP(A1, TestMaster[Test Name], TestMaster[Test Priority], "Priority not found"), "")</f>
        <v>Medium</v>
      </c>
      <c r="E3" t="s">
        <v>13</v>
      </c>
      <c r="F3" s="7" t="str">
        <f>IFERROR(_xlfn.XLOOKUP(A1, TestMaster[Test Name], TestMaster[Test Status], "Status not found"), "")</f>
        <v>Not Implemented</v>
      </c>
      <c r="G3" s="18" t="s">
        <v>12</v>
      </c>
      <c r="H3" s="19"/>
      <c r="I3" s="6" t="str">
        <f>IFERROR(_xlfn.XLOOKUP(G1, TestMaster[Test Name], TestMaster[Test Priority], "Priority not found"), "")</f>
        <v>Medium</v>
      </c>
      <c r="K3" t="s">
        <v>13</v>
      </c>
      <c r="L3" s="7" t="str">
        <f>IFERROR(_xlfn.XLOOKUP(G1, TestMaster[Test Name], TestMaster[Test Status], "Status not found"), "")</f>
        <v>Not Implemented</v>
      </c>
      <c r="M3" s="18" t="s">
        <v>12</v>
      </c>
      <c r="N3" s="19"/>
      <c r="O3" s="12" t="str">
        <f>IFERROR(_xlfn.XLOOKUP(M1, TestMaster[Test Name], TestMaster[Test Priority], "Priority not found"), "")</f>
        <v>Low</v>
      </c>
      <c r="Q3" t="s">
        <v>13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0" t="s">
        <v>57</v>
      </c>
      <c r="B4" s="19"/>
      <c r="C4" s="19"/>
      <c r="D4" s="19"/>
      <c r="E4" s="19"/>
      <c r="F4" s="22"/>
      <c r="G4" s="24" t="s">
        <v>57</v>
      </c>
      <c r="H4" s="19"/>
      <c r="I4" s="19"/>
      <c r="J4" s="19"/>
      <c r="K4" s="19"/>
      <c r="L4" s="22"/>
      <c r="M4" s="18" t="s">
        <v>57</v>
      </c>
      <c r="N4" s="19"/>
      <c r="O4" s="19"/>
      <c r="P4" s="19"/>
      <c r="Q4" s="19"/>
      <c r="R4" s="19"/>
    </row>
    <row r="5" spans="1:18" x14ac:dyDescent="0.25">
      <c r="A5" s="19"/>
      <c r="B5" s="19"/>
      <c r="C5" s="19"/>
      <c r="D5" s="19"/>
      <c r="E5" s="19"/>
      <c r="F5" s="22"/>
      <c r="G5" s="25"/>
      <c r="H5" s="19"/>
      <c r="I5" s="19"/>
      <c r="J5" s="19"/>
      <c r="K5" s="19"/>
      <c r="L5" s="22"/>
      <c r="M5" s="19"/>
      <c r="N5" s="19"/>
      <c r="O5" s="19"/>
      <c r="P5" s="19"/>
      <c r="Q5" s="19"/>
      <c r="R5" s="19"/>
    </row>
    <row r="6" spans="1:18" x14ac:dyDescent="0.25">
      <c r="A6" s="20" t="s">
        <v>15</v>
      </c>
      <c r="B6" s="19"/>
      <c r="C6" s="19"/>
      <c r="D6" s="19"/>
      <c r="E6" s="19"/>
      <c r="F6" s="22"/>
      <c r="G6" s="24" t="s">
        <v>15</v>
      </c>
      <c r="H6" s="19"/>
      <c r="I6" s="19"/>
      <c r="J6" s="19"/>
      <c r="K6" s="19"/>
      <c r="L6" s="22"/>
      <c r="M6" s="18" t="s">
        <v>15</v>
      </c>
      <c r="N6" s="19"/>
      <c r="O6" s="19"/>
      <c r="P6" s="19"/>
      <c r="Q6" s="19"/>
      <c r="R6" s="19"/>
    </row>
    <row r="7" spans="1:18" x14ac:dyDescent="0.25">
      <c r="A7" s="1" t="s">
        <v>16</v>
      </c>
      <c r="B7" s="1" t="s">
        <v>17</v>
      </c>
      <c r="C7" s="1" t="s">
        <v>18</v>
      </c>
      <c r="D7" s="1" t="s">
        <v>19</v>
      </c>
      <c r="E7" s="1" t="s">
        <v>20</v>
      </c>
      <c r="F7" s="10" t="s">
        <v>21</v>
      </c>
      <c r="G7" s="1" t="s">
        <v>16</v>
      </c>
      <c r="H7" s="1" t="s">
        <v>17</v>
      </c>
      <c r="I7" s="1" t="s">
        <v>18</v>
      </c>
      <c r="J7" s="1" t="s">
        <v>19</v>
      </c>
      <c r="K7" s="1" t="s">
        <v>20</v>
      </c>
      <c r="L7" s="10" t="s">
        <v>21</v>
      </c>
      <c r="M7" s="1" t="s">
        <v>16</v>
      </c>
      <c r="N7" s="1" t="s">
        <v>17</v>
      </c>
      <c r="O7" s="1" t="s">
        <v>18</v>
      </c>
      <c r="P7" s="1" t="s">
        <v>19</v>
      </c>
      <c r="Q7" s="1" t="s">
        <v>20</v>
      </c>
      <c r="R7" s="1" t="s">
        <v>21</v>
      </c>
    </row>
    <row r="8" spans="1:18" x14ac:dyDescent="0.25">
      <c r="A8" s="4">
        <v>1</v>
      </c>
      <c r="B8" s="4" t="s">
        <v>87</v>
      </c>
      <c r="C8" s="4" t="s">
        <v>59</v>
      </c>
      <c r="D8" s="4" t="s">
        <v>88</v>
      </c>
      <c r="G8">
        <v>1</v>
      </c>
      <c r="H8" s="4" t="s">
        <v>87</v>
      </c>
      <c r="I8" s="4" t="s">
        <v>59</v>
      </c>
      <c r="J8" s="4" t="s">
        <v>89</v>
      </c>
      <c r="M8">
        <v>1</v>
      </c>
      <c r="N8" s="4" t="s">
        <v>87</v>
      </c>
      <c r="O8" s="4" t="s">
        <v>59</v>
      </c>
      <c r="P8" s="4" t="s">
        <v>89</v>
      </c>
    </row>
    <row r="9" spans="1:18" ht="43.5" customHeight="1" x14ac:dyDescent="0.25">
      <c r="A9" s="4">
        <v>2</v>
      </c>
      <c r="B9" s="4" t="s">
        <v>90</v>
      </c>
      <c r="C9" s="4" t="s">
        <v>59</v>
      </c>
      <c r="D9" s="4" t="s">
        <v>53</v>
      </c>
      <c r="G9">
        <v>2</v>
      </c>
      <c r="H9" s="3" t="s">
        <v>91</v>
      </c>
      <c r="I9" s="3" t="s">
        <v>92</v>
      </c>
      <c r="J9" s="3" t="s">
        <v>93</v>
      </c>
      <c r="M9">
        <v>2</v>
      </c>
      <c r="N9" s="3" t="s">
        <v>91</v>
      </c>
      <c r="O9" s="3" t="s">
        <v>92</v>
      </c>
      <c r="P9" s="3" t="s">
        <v>93</v>
      </c>
    </row>
    <row r="10" spans="1:18" ht="29.1" customHeight="1" x14ac:dyDescent="0.25">
      <c r="G10">
        <v>3</v>
      </c>
      <c r="H10" s="3" t="s">
        <v>94</v>
      </c>
      <c r="I10" s="3" t="s">
        <v>95</v>
      </c>
      <c r="J10" s="3" t="s">
        <v>96</v>
      </c>
      <c r="M10">
        <v>3</v>
      </c>
      <c r="N10" s="3" t="s">
        <v>97</v>
      </c>
      <c r="O10" s="3" t="s">
        <v>95</v>
      </c>
      <c r="P10" s="3" t="s">
        <v>96</v>
      </c>
    </row>
    <row r="11" spans="1:18" x14ac:dyDescent="0.25">
      <c r="G11">
        <v>4</v>
      </c>
      <c r="H11" t="s">
        <v>98</v>
      </c>
      <c r="I11" t="s">
        <v>99</v>
      </c>
      <c r="J11" t="s">
        <v>100</v>
      </c>
      <c r="M11">
        <v>4</v>
      </c>
      <c r="N11" t="s">
        <v>101</v>
      </c>
      <c r="O11" t="s">
        <v>102</v>
      </c>
      <c r="P11" t="s">
        <v>100</v>
      </c>
    </row>
    <row r="12" spans="1:18" x14ac:dyDescent="0.25">
      <c r="G12">
        <v>5</v>
      </c>
      <c r="H12" t="s">
        <v>103</v>
      </c>
      <c r="I12" t="s">
        <v>104</v>
      </c>
      <c r="J12" t="s">
        <v>105</v>
      </c>
      <c r="M12">
        <v>5</v>
      </c>
      <c r="N12" t="s">
        <v>106</v>
      </c>
      <c r="O12" t="s">
        <v>104</v>
      </c>
      <c r="P12" t="s">
        <v>107</v>
      </c>
    </row>
    <row r="13" spans="1:18" x14ac:dyDescent="0.25">
      <c r="G13">
        <v>6</v>
      </c>
      <c r="H13" t="s">
        <v>108</v>
      </c>
      <c r="I13" t="s">
        <v>109</v>
      </c>
      <c r="J13" t="s">
        <v>110</v>
      </c>
      <c r="M13">
        <v>6</v>
      </c>
      <c r="N13" t="s">
        <v>38</v>
      </c>
      <c r="O13" t="s">
        <v>39</v>
      </c>
      <c r="P13" t="s">
        <v>111</v>
      </c>
    </row>
    <row r="14" spans="1:18" x14ac:dyDescent="0.25">
      <c r="G14">
        <v>7</v>
      </c>
      <c r="H14" t="s">
        <v>112</v>
      </c>
      <c r="M14">
        <v>8</v>
      </c>
      <c r="N14" t="s">
        <v>113</v>
      </c>
      <c r="O14" t="s">
        <v>102</v>
      </c>
      <c r="P14" t="s">
        <v>100</v>
      </c>
    </row>
    <row r="15" spans="1:18" x14ac:dyDescent="0.25">
      <c r="G15">
        <v>8</v>
      </c>
      <c r="H15" t="s">
        <v>98</v>
      </c>
      <c r="I15" t="s">
        <v>99</v>
      </c>
      <c r="J15" t="s">
        <v>100</v>
      </c>
      <c r="M15">
        <v>9</v>
      </c>
      <c r="N15" t="s">
        <v>114</v>
      </c>
      <c r="O15" t="s">
        <v>104</v>
      </c>
      <c r="P15" t="s">
        <v>107</v>
      </c>
    </row>
    <row r="16" spans="1:18" x14ac:dyDescent="0.25">
      <c r="G16">
        <v>9</v>
      </c>
      <c r="H16" t="s">
        <v>103</v>
      </c>
      <c r="I16" t="s">
        <v>104</v>
      </c>
      <c r="J16" t="s">
        <v>105</v>
      </c>
      <c r="M16">
        <v>10</v>
      </c>
      <c r="N16" t="s">
        <v>38</v>
      </c>
      <c r="O16" t="s">
        <v>42</v>
      </c>
      <c r="P16" t="s">
        <v>115</v>
      </c>
    </row>
    <row r="17" spans="7:10" x14ac:dyDescent="0.25">
      <c r="G17">
        <v>10</v>
      </c>
      <c r="H17" t="s">
        <v>108</v>
      </c>
      <c r="I17" t="s">
        <v>109</v>
      </c>
      <c r="J17" t="s">
        <v>110</v>
      </c>
    </row>
    <row r="18" spans="7:10" x14ac:dyDescent="0.25">
      <c r="G18">
        <v>11</v>
      </c>
      <c r="H18" t="s">
        <v>116</v>
      </c>
      <c r="I18" t="s">
        <v>117</v>
      </c>
      <c r="J18" t="s">
        <v>118</v>
      </c>
    </row>
    <row r="19" spans="7:10" x14ac:dyDescent="0.25">
      <c r="G19">
        <v>12</v>
      </c>
      <c r="H19" t="s">
        <v>98</v>
      </c>
      <c r="I19" t="s">
        <v>102</v>
      </c>
      <c r="J19" t="s">
        <v>100</v>
      </c>
    </row>
    <row r="20" spans="7:10" x14ac:dyDescent="0.25">
      <c r="G20">
        <v>13</v>
      </c>
      <c r="H20" t="s">
        <v>103</v>
      </c>
      <c r="I20" t="s">
        <v>104</v>
      </c>
      <c r="J20" t="s">
        <v>107</v>
      </c>
    </row>
    <row r="21" spans="7:10" x14ac:dyDescent="0.25">
      <c r="G21">
        <v>14</v>
      </c>
      <c r="H21" t="s">
        <v>38</v>
      </c>
      <c r="I21" t="s">
        <v>44</v>
      </c>
      <c r="J21" t="s">
        <v>119</v>
      </c>
    </row>
    <row r="22" spans="7:10" x14ac:dyDescent="0.25">
      <c r="G22">
        <v>15</v>
      </c>
      <c r="H22" t="s">
        <v>46</v>
      </c>
      <c r="I22" t="s">
        <v>104</v>
      </c>
      <c r="J22" t="s">
        <v>48</v>
      </c>
    </row>
    <row r="23" spans="7:10" x14ac:dyDescent="0.25">
      <c r="G23">
        <v>16</v>
      </c>
      <c r="H23" t="s">
        <v>38</v>
      </c>
      <c r="I23" t="s">
        <v>44</v>
      </c>
      <c r="J23" t="s">
        <v>119</v>
      </c>
    </row>
    <row r="24" spans="7:10" x14ac:dyDescent="0.25">
      <c r="G24">
        <v>17</v>
      </c>
      <c r="H24" t="s">
        <v>49</v>
      </c>
      <c r="I24" t="s">
        <v>50</v>
      </c>
      <c r="J24" t="s">
        <v>120</v>
      </c>
    </row>
    <row r="25" spans="7:10" x14ac:dyDescent="0.25">
      <c r="G25">
        <v>18</v>
      </c>
      <c r="H25" t="s">
        <v>116</v>
      </c>
      <c r="I25" t="s">
        <v>117</v>
      </c>
      <c r="J25" t="s">
        <v>53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workbookViewId="0">
      <selection activeCell="J19" sqref="J19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11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20" t="s">
        <v>121</v>
      </c>
      <c r="B1" s="19"/>
      <c r="C1" s="19"/>
      <c r="D1" s="19"/>
      <c r="E1" s="19"/>
      <c r="F1" s="22"/>
      <c r="G1" s="24" t="s">
        <v>122</v>
      </c>
      <c r="H1" s="19"/>
      <c r="I1" s="19"/>
      <c r="J1" s="19"/>
      <c r="K1" s="19"/>
      <c r="L1" s="22"/>
      <c r="M1" s="18" t="s">
        <v>123</v>
      </c>
      <c r="N1" s="19"/>
      <c r="O1" s="19"/>
      <c r="P1" s="19"/>
      <c r="Q1" s="19"/>
      <c r="R1" s="19"/>
    </row>
    <row r="2" spans="1:18" x14ac:dyDescent="0.25">
      <c r="A2" s="18" t="s">
        <v>10</v>
      </c>
      <c r="B2" s="19"/>
      <c r="C2" s="6">
        <f>IFERROR(_xlfn.XLOOKUP(A1, TestMaster[Test Name], TestMaster[Test ID], "ID not found"), "")</f>
        <v>29</v>
      </c>
      <c r="E2" t="s">
        <v>11</v>
      </c>
      <c r="G2" s="18" t="s">
        <v>10</v>
      </c>
      <c r="H2" s="19"/>
      <c r="I2" s="6">
        <f>IFERROR(_xlfn.XLOOKUP(G1, TestMaster[Test Name], TestMaster[Test ID], "ID not found"), "")</f>
        <v>27</v>
      </c>
      <c r="K2" t="s">
        <v>11</v>
      </c>
      <c r="M2" s="18" t="s">
        <v>10</v>
      </c>
      <c r="N2" s="19"/>
      <c r="O2" s="6">
        <f>IFERROR(_xlfn.XLOOKUP(M1, TestMaster[Test Name], TestMaster[Test ID], "ID not found"), "")</f>
        <v>28</v>
      </c>
      <c r="Q2" t="s">
        <v>11</v>
      </c>
    </row>
    <row r="3" spans="1:18" x14ac:dyDescent="0.25">
      <c r="A3" s="18" t="s">
        <v>12</v>
      </c>
      <c r="B3" s="19"/>
      <c r="C3" s="6" t="str">
        <f>IFERROR(_xlfn.XLOOKUP(A1, TestMaster[Test Name], TestMaster[Test Priority], "Priority not found"), "")</f>
        <v>Medium</v>
      </c>
      <c r="E3" t="s">
        <v>13</v>
      </c>
      <c r="F3" s="7" t="str">
        <f>IFERROR(_xlfn.XLOOKUP(A1, TestMaster[Test Name], TestMaster[Test Status], "Status not found"), "")</f>
        <v>Not Implemented</v>
      </c>
      <c r="G3" s="18" t="s">
        <v>12</v>
      </c>
      <c r="H3" s="19"/>
      <c r="I3" s="6" t="str">
        <f>IFERROR(_xlfn.XLOOKUP(G1, TestMaster[Test Name], TestMaster[Test Priority], "Priority not found"), "")</f>
        <v>Medium</v>
      </c>
      <c r="K3" t="s">
        <v>13</v>
      </c>
      <c r="L3" s="7" t="str">
        <f>IFERROR(_xlfn.XLOOKUP(G1, TestMaster[Test Name], TestMaster[Test Status], "Status not found"), "")</f>
        <v>Not Implemented</v>
      </c>
      <c r="M3" s="18" t="s">
        <v>12</v>
      </c>
      <c r="N3" s="19"/>
      <c r="O3" s="6" t="str">
        <f>IFERROR(_xlfn.XLOOKUP(M1, TestMaster[Test Name], TestMaster[Test Priority], "Priority not found"), "")</f>
        <v>Low</v>
      </c>
      <c r="Q3" t="s">
        <v>13</v>
      </c>
      <c r="R3" t="str">
        <f>IFERROR(_xlfn.XLOOKUP(M1, TestMaster[Test Name], TestMaster[Test Status], "Status not found"), "")</f>
        <v>Not Implemented</v>
      </c>
    </row>
    <row r="4" spans="1:18" x14ac:dyDescent="0.25">
      <c r="A4" s="27" t="s">
        <v>124</v>
      </c>
      <c r="B4" s="19"/>
      <c r="C4" s="19"/>
      <c r="D4" s="19"/>
      <c r="E4" s="19"/>
      <c r="F4" s="22"/>
      <c r="G4" s="28" t="s">
        <v>57</v>
      </c>
      <c r="H4" s="19"/>
      <c r="I4" s="19"/>
      <c r="J4" s="19"/>
      <c r="K4" s="19"/>
      <c r="L4" s="22"/>
      <c r="M4" s="26" t="s">
        <v>57</v>
      </c>
      <c r="N4" s="19"/>
      <c r="O4" s="19"/>
      <c r="P4" s="19"/>
      <c r="Q4" s="19"/>
      <c r="R4" s="19"/>
    </row>
    <row r="5" spans="1:18" x14ac:dyDescent="0.25">
      <c r="A5" s="19"/>
      <c r="B5" s="19"/>
      <c r="C5" s="19"/>
      <c r="D5" s="19"/>
      <c r="E5" s="19"/>
      <c r="F5" s="22"/>
      <c r="G5" s="25"/>
      <c r="H5" s="19"/>
      <c r="I5" s="19"/>
      <c r="J5" s="19"/>
      <c r="K5" s="19"/>
      <c r="L5" s="22"/>
      <c r="M5" s="19"/>
      <c r="N5" s="19"/>
      <c r="O5" s="19"/>
      <c r="P5" s="19"/>
      <c r="Q5" s="19"/>
      <c r="R5" s="19"/>
    </row>
    <row r="6" spans="1:18" x14ac:dyDescent="0.25">
      <c r="A6" s="20" t="s">
        <v>125</v>
      </c>
      <c r="B6" s="19"/>
      <c r="C6" s="19"/>
      <c r="D6" s="19"/>
      <c r="E6" s="19"/>
      <c r="F6" s="22"/>
      <c r="G6" s="24" t="s">
        <v>15</v>
      </c>
      <c r="H6" s="19"/>
      <c r="I6" s="19"/>
      <c r="J6" s="19"/>
      <c r="K6" s="19"/>
      <c r="L6" s="22"/>
      <c r="M6" s="18" t="s">
        <v>15</v>
      </c>
      <c r="N6" s="19"/>
      <c r="O6" s="19"/>
      <c r="P6" s="19"/>
      <c r="Q6" s="19"/>
      <c r="R6" s="19"/>
    </row>
    <row r="7" spans="1:18" x14ac:dyDescent="0.25">
      <c r="A7" s="1" t="s">
        <v>16</v>
      </c>
      <c r="B7" s="1" t="s">
        <v>17</v>
      </c>
      <c r="C7" s="1" t="s">
        <v>18</v>
      </c>
      <c r="D7" s="1" t="s">
        <v>19</v>
      </c>
      <c r="E7" s="1" t="s">
        <v>20</v>
      </c>
      <c r="F7" s="10" t="s">
        <v>21</v>
      </c>
      <c r="G7" s="1" t="s">
        <v>16</v>
      </c>
      <c r="H7" s="1" t="s">
        <v>17</v>
      </c>
      <c r="I7" s="1" t="s">
        <v>18</v>
      </c>
      <c r="J7" s="1" t="s">
        <v>19</v>
      </c>
      <c r="K7" s="1" t="s">
        <v>20</v>
      </c>
      <c r="L7" s="10" t="s">
        <v>21</v>
      </c>
      <c r="M7" s="1" t="s">
        <v>16</v>
      </c>
      <c r="N7" s="1" t="s">
        <v>17</v>
      </c>
      <c r="O7" s="1" t="s">
        <v>18</v>
      </c>
      <c r="P7" s="1" t="s">
        <v>19</v>
      </c>
      <c r="Q7" s="1" t="s">
        <v>20</v>
      </c>
      <c r="R7" s="1" t="s">
        <v>21</v>
      </c>
    </row>
    <row r="8" spans="1:18" s="3" customFormat="1" ht="30" x14ac:dyDescent="0.25">
      <c r="A8" s="3">
        <v>1</v>
      </c>
      <c r="B8" s="3" t="s">
        <v>126</v>
      </c>
      <c r="C8" s="3" t="s">
        <v>59</v>
      </c>
      <c r="D8" s="3" t="s">
        <v>88</v>
      </c>
      <c r="F8" s="13"/>
      <c r="G8" s="3">
        <v>1</v>
      </c>
      <c r="H8" s="3" t="s">
        <v>126</v>
      </c>
      <c r="I8" s="3" t="s">
        <v>59</v>
      </c>
      <c r="J8" s="3" t="s">
        <v>89</v>
      </c>
      <c r="L8" s="13"/>
      <c r="M8" s="3">
        <v>1</v>
      </c>
      <c r="N8" s="3" t="s">
        <v>126</v>
      </c>
      <c r="O8" s="3" t="s">
        <v>59</v>
      </c>
      <c r="P8" s="3" t="s">
        <v>89</v>
      </c>
    </row>
    <row r="9" spans="1:18" s="3" customFormat="1" ht="43.5" customHeight="1" x14ac:dyDescent="0.25">
      <c r="A9" s="3">
        <v>2</v>
      </c>
      <c r="B9" s="3" t="s">
        <v>90</v>
      </c>
      <c r="C9" s="3" t="s">
        <v>59</v>
      </c>
      <c r="D9" s="3" t="s">
        <v>53</v>
      </c>
      <c r="F9" s="13"/>
      <c r="G9" s="3">
        <v>2</v>
      </c>
      <c r="H9" s="3" t="s">
        <v>91</v>
      </c>
      <c r="I9" s="3" t="s">
        <v>92</v>
      </c>
      <c r="J9" s="3" t="s">
        <v>93</v>
      </c>
      <c r="L9" s="13"/>
      <c r="M9" s="3">
        <v>2</v>
      </c>
      <c r="N9" s="3" t="s">
        <v>91</v>
      </c>
      <c r="O9" s="3" t="s">
        <v>127</v>
      </c>
      <c r="P9" s="3" t="s">
        <v>128</v>
      </c>
    </row>
    <row r="10" spans="1:18" s="3" customFormat="1" ht="29.1" customHeight="1" x14ac:dyDescent="0.25">
      <c r="F10" s="13"/>
      <c r="G10" s="3">
        <v>3</v>
      </c>
      <c r="H10" s="3" t="s">
        <v>129</v>
      </c>
      <c r="I10" s="3" t="s">
        <v>130</v>
      </c>
      <c r="J10" s="3" t="s">
        <v>131</v>
      </c>
      <c r="L10" s="13"/>
      <c r="M10" s="3">
        <v>3</v>
      </c>
      <c r="N10" s="3" t="s">
        <v>129</v>
      </c>
      <c r="O10" s="3" t="s">
        <v>130</v>
      </c>
      <c r="P10" s="3" t="s">
        <v>132</v>
      </c>
    </row>
    <row r="11" spans="1:18" ht="29.1" customHeight="1" x14ac:dyDescent="0.25">
      <c r="M11" s="3">
        <v>4</v>
      </c>
      <c r="N11" s="3" t="s">
        <v>133</v>
      </c>
      <c r="O11" s="3" t="s">
        <v>134</v>
      </c>
      <c r="P11" s="3" t="s">
        <v>135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3.28515625" bestFit="1" customWidth="1"/>
    <col min="15" max="15" width="17.140625" bestFit="1" customWidth="1"/>
    <col min="16" max="16" width="41" bestFit="1" customWidth="1"/>
    <col min="17" max="17" width="18.42578125" bestFit="1" customWidth="1"/>
    <col min="18" max="18" width="8" bestFit="1" customWidth="1"/>
  </cols>
  <sheetData>
    <row r="1" spans="1:18" x14ac:dyDescent="0.25">
      <c r="A1" s="20" t="s">
        <v>136</v>
      </c>
      <c r="B1" s="19"/>
      <c r="C1" s="19"/>
      <c r="D1" s="19"/>
      <c r="E1" s="19"/>
      <c r="F1" s="22"/>
      <c r="G1" s="18" t="s">
        <v>137</v>
      </c>
      <c r="H1" s="19"/>
      <c r="I1" s="19"/>
      <c r="J1" s="19"/>
      <c r="K1" s="19"/>
      <c r="L1" s="19"/>
      <c r="M1" s="24" t="s">
        <v>138</v>
      </c>
      <c r="N1" s="19"/>
      <c r="O1" s="19"/>
      <c r="P1" s="19"/>
      <c r="Q1" s="19"/>
      <c r="R1" s="22"/>
    </row>
    <row r="2" spans="1:18" x14ac:dyDescent="0.25">
      <c r="A2" s="18" t="s">
        <v>10</v>
      </c>
      <c r="B2" s="19"/>
      <c r="C2" s="6">
        <f>IFERROR(_xlfn.XLOOKUP(A1, TestMaster[Test Name], TestMaster[Test ID], "ID not found"), "")</f>
        <v>32</v>
      </c>
      <c r="E2" t="s">
        <v>11</v>
      </c>
      <c r="G2" s="18" t="s">
        <v>10</v>
      </c>
      <c r="H2" s="19"/>
      <c r="I2" s="6">
        <f>IFERROR(_xlfn.XLOOKUP(G1, TestMaster[Test Name], TestMaster[Test ID], "ID not found"), "")</f>
        <v>30</v>
      </c>
      <c r="K2" t="s">
        <v>11</v>
      </c>
      <c r="M2" s="29" t="s">
        <v>10</v>
      </c>
      <c r="N2" s="19"/>
      <c r="O2" s="6">
        <f>IFERROR(_xlfn.XLOOKUP(M1, TestMaster[Test Name], TestMaster[Test ID], "ID not found"), "")</f>
        <v>31</v>
      </c>
      <c r="Q2" t="s">
        <v>11</v>
      </c>
      <c r="R2" s="7"/>
    </row>
    <row r="3" spans="1:18" x14ac:dyDescent="0.25">
      <c r="A3" s="18" t="s">
        <v>12</v>
      </c>
      <c r="B3" s="19"/>
      <c r="C3" s="6" t="str">
        <f>IFERROR(_xlfn.XLOOKUP(A1, TestMaster[Test Name], TestMaster[Test Priority], "Priority not found"), "")</f>
        <v>High</v>
      </c>
      <c r="E3" t="s">
        <v>13</v>
      </c>
      <c r="F3" s="7" t="str">
        <f>IFERROR(_xlfn.XLOOKUP(A1, TestMaster[Test Name], TestMaster[Test Priority], "Priority not found"), "")</f>
        <v>High</v>
      </c>
      <c r="G3" s="18" t="s">
        <v>12</v>
      </c>
      <c r="H3" s="19"/>
      <c r="I3" s="6" t="str">
        <f>IFERROR(_xlfn.XLOOKUP(G1, TestMaster[Test Name], TestMaster[Test Priority], "Priority not found"), "")</f>
        <v>High</v>
      </c>
      <c r="K3" t="s">
        <v>13</v>
      </c>
      <c r="L3" t="str">
        <f>IFERROR(_xlfn.XLOOKUP(G1, TestMaster[Test Name], TestMaster[Test Priority], "Priority not found"), "")</f>
        <v>High</v>
      </c>
      <c r="M3" s="29" t="s">
        <v>12</v>
      </c>
      <c r="N3" s="19"/>
      <c r="O3" s="6" t="str">
        <f>IFERROR(_xlfn.XLOOKUP(M1, TestMaster[Test Name], TestMaster[Test Priority], "Priority not found"), "")</f>
        <v>Medium</v>
      </c>
      <c r="Q3" t="s">
        <v>13</v>
      </c>
      <c r="R3" s="7" t="str">
        <f>IFERROR(_xlfn.XLOOKUP(M1, TestMaster[Test Name], TestMaster[Test Priority], "Priority not found"), "")</f>
        <v>Medium</v>
      </c>
    </row>
    <row r="4" spans="1:18" s="2" customFormat="1" ht="14.45" customHeight="1" x14ac:dyDescent="0.25">
      <c r="A4" s="27" t="s">
        <v>139</v>
      </c>
      <c r="B4" s="21"/>
      <c r="C4" s="21"/>
      <c r="D4" s="21"/>
      <c r="E4" s="21"/>
      <c r="F4" s="22"/>
      <c r="G4" s="26" t="s">
        <v>140</v>
      </c>
      <c r="H4" s="21"/>
      <c r="I4" s="21"/>
      <c r="J4" s="21"/>
      <c r="K4" s="21"/>
      <c r="L4" s="21"/>
      <c r="M4" s="28" t="s">
        <v>141</v>
      </c>
      <c r="N4" s="21"/>
      <c r="O4" s="21"/>
      <c r="P4" s="21"/>
      <c r="Q4" s="21"/>
      <c r="R4" s="22"/>
    </row>
    <row r="5" spans="1:18" s="2" customFormat="1" x14ac:dyDescent="0.25">
      <c r="A5" s="21"/>
      <c r="B5" s="21"/>
      <c r="C5" s="21"/>
      <c r="D5" s="21"/>
      <c r="E5" s="21"/>
      <c r="F5" s="22"/>
      <c r="G5" s="21"/>
      <c r="H5" s="21"/>
      <c r="I5" s="21"/>
      <c r="J5" s="21"/>
      <c r="K5" s="21"/>
      <c r="L5" s="21"/>
      <c r="M5" s="25"/>
      <c r="N5" s="21"/>
      <c r="O5" s="21"/>
      <c r="P5" s="21"/>
      <c r="Q5" s="21"/>
      <c r="R5" s="22"/>
    </row>
    <row r="6" spans="1:18" x14ac:dyDescent="0.25">
      <c r="A6" s="20" t="s">
        <v>142</v>
      </c>
      <c r="B6" s="19"/>
      <c r="C6" s="19"/>
      <c r="D6" s="19"/>
      <c r="E6" s="19"/>
      <c r="F6" s="22"/>
      <c r="G6" s="18" t="s">
        <v>143</v>
      </c>
      <c r="H6" s="19"/>
      <c r="I6" s="19"/>
      <c r="J6" s="19"/>
      <c r="K6" s="19"/>
      <c r="L6" s="19"/>
      <c r="M6" s="24" t="s">
        <v>143</v>
      </c>
      <c r="N6" s="19"/>
      <c r="O6" s="19"/>
      <c r="P6" s="19"/>
      <c r="Q6" s="19"/>
      <c r="R6" s="22"/>
    </row>
    <row r="7" spans="1:18" x14ac:dyDescent="0.25">
      <c r="A7" s="1" t="s">
        <v>16</v>
      </c>
      <c r="B7" s="1" t="s">
        <v>17</v>
      </c>
      <c r="C7" s="1" t="s">
        <v>18</v>
      </c>
      <c r="D7" s="1" t="s">
        <v>19</v>
      </c>
      <c r="E7" s="1" t="s">
        <v>20</v>
      </c>
      <c r="F7" s="10" t="s">
        <v>21</v>
      </c>
      <c r="G7" s="1" t="s">
        <v>16</v>
      </c>
      <c r="H7" s="1" t="s">
        <v>17</v>
      </c>
      <c r="I7" s="1" t="s">
        <v>18</v>
      </c>
      <c r="J7" s="1" t="s">
        <v>19</v>
      </c>
      <c r="K7" s="1" t="s">
        <v>20</v>
      </c>
      <c r="L7" s="1" t="s">
        <v>21</v>
      </c>
      <c r="M7" s="14" t="s">
        <v>16</v>
      </c>
      <c r="N7" s="1" t="s">
        <v>17</v>
      </c>
      <c r="O7" s="1" t="s">
        <v>18</v>
      </c>
      <c r="P7" s="1" t="s">
        <v>19</v>
      </c>
      <c r="Q7" s="1" t="s">
        <v>20</v>
      </c>
      <c r="R7" s="10" t="s">
        <v>21</v>
      </c>
    </row>
    <row r="8" spans="1:18" x14ac:dyDescent="0.25">
      <c r="A8">
        <v>1</v>
      </c>
      <c r="B8" t="s">
        <v>144</v>
      </c>
      <c r="C8" t="s">
        <v>145</v>
      </c>
      <c r="D8" t="s">
        <v>146</v>
      </c>
      <c r="G8">
        <v>1</v>
      </c>
      <c r="H8" t="s">
        <v>147</v>
      </c>
      <c r="I8" t="s">
        <v>148</v>
      </c>
      <c r="J8" t="s">
        <v>149</v>
      </c>
      <c r="M8" s="15">
        <v>1</v>
      </c>
      <c r="R8" s="7"/>
    </row>
    <row r="9" spans="1:18" x14ac:dyDescent="0.25">
      <c r="A9">
        <v>2</v>
      </c>
      <c r="B9" t="s">
        <v>90</v>
      </c>
      <c r="C9" t="s">
        <v>150</v>
      </c>
      <c r="D9" t="s">
        <v>151</v>
      </c>
      <c r="G9">
        <v>2</v>
      </c>
      <c r="H9" t="s">
        <v>152</v>
      </c>
      <c r="I9" t="s">
        <v>153</v>
      </c>
      <c r="J9" t="s">
        <v>154</v>
      </c>
      <c r="M9" s="15">
        <v>2</v>
      </c>
      <c r="R9" s="7"/>
    </row>
    <row r="10" spans="1:18" x14ac:dyDescent="0.25">
      <c r="A10">
        <v>3</v>
      </c>
      <c r="B10" t="s">
        <v>155</v>
      </c>
      <c r="C10" t="s">
        <v>156</v>
      </c>
      <c r="D10" t="s">
        <v>157</v>
      </c>
      <c r="G10">
        <v>3</v>
      </c>
      <c r="H10" t="s">
        <v>158</v>
      </c>
      <c r="I10" t="s">
        <v>159</v>
      </c>
      <c r="J10" t="s">
        <v>160</v>
      </c>
      <c r="M10" s="15">
        <v>3</v>
      </c>
      <c r="R10" s="7"/>
    </row>
    <row r="11" spans="1:18" ht="43.5" customHeight="1" x14ac:dyDescent="0.25">
      <c r="A11">
        <v>4</v>
      </c>
      <c r="B11" s="2" t="s">
        <v>161</v>
      </c>
      <c r="C11" s="2" t="s">
        <v>162</v>
      </c>
      <c r="D11" t="s">
        <v>163</v>
      </c>
      <c r="G11">
        <v>4</v>
      </c>
      <c r="H11" t="s">
        <v>164</v>
      </c>
      <c r="I11" t="s">
        <v>59</v>
      </c>
      <c r="J11" t="s">
        <v>165</v>
      </c>
      <c r="M11" s="15">
        <v>4</v>
      </c>
      <c r="N11" s="2"/>
      <c r="O11" s="2"/>
      <c r="P11" s="2"/>
      <c r="R11" s="7"/>
    </row>
    <row r="12" spans="1:18" x14ac:dyDescent="0.25">
      <c r="A12">
        <v>5</v>
      </c>
      <c r="B12" t="s">
        <v>144</v>
      </c>
      <c r="D12" t="s">
        <v>166</v>
      </c>
    </row>
    <row r="13" spans="1:18" x14ac:dyDescent="0.25">
      <c r="A13">
        <v>6</v>
      </c>
      <c r="B13" t="s">
        <v>167</v>
      </c>
      <c r="C13" t="s">
        <v>168</v>
      </c>
      <c r="D13" t="s">
        <v>151</v>
      </c>
    </row>
    <row r="14" spans="1:18" x14ac:dyDescent="0.25">
      <c r="A14">
        <v>7</v>
      </c>
      <c r="B14" t="s">
        <v>169</v>
      </c>
      <c r="C14" t="s">
        <v>170</v>
      </c>
    </row>
    <row r="15" spans="1:18" x14ac:dyDescent="0.25">
      <c r="A15">
        <v>8</v>
      </c>
      <c r="B15" t="s">
        <v>171</v>
      </c>
      <c r="C15" t="s">
        <v>52</v>
      </c>
      <c r="D15" t="s">
        <v>172</v>
      </c>
    </row>
    <row r="16" spans="1:18" x14ac:dyDescent="0.25">
      <c r="A16">
        <v>9</v>
      </c>
      <c r="B16" t="s">
        <v>173</v>
      </c>
      <c r="C16" t="s">
        <v>168</v>
      </c>
      <c r="D16" t="s">
        <v>53</v>
      </c>
    </row>
    <row r="17" spans="1:4" x14ac:dyDescent="0.25">
      <c r="A17">
        <v>10</v>
      </c>
      <c r="B17" t="s">
        <v>174</v>
      </c>
      <c r="C17" t="s">
        <v>175</v>
      </c>
      <c r="D17" t="s">
        <v>176</v>
      </c>
    </row>
    <row r="18" spans="1:4" ht="72.599999999999994" customHeight="1" x14ac:dyDescent="0.25">
      <c r="A18">
        <v>11</v>
      </c>
      <c r="B18" t="s">
        <v>177</v>
      </c>
      <c r="C18" s="2" t="s">
        <v>178</v>
      </c>
      <c r="D18" s="2" t="s">
        <v>179</v>
      </c>
    </row>
    <row r="19" spans="1:4" x14ac:dyDescent="0.25">
      <c r="A19">
        <v>12</v>
      </c>
      <c r="B19" t="s">
        <v>169</v>
      </c>
      <c r="C19" t="s">
        <v>59</v>
      </c>
      <c r="D19" t="s">
        <v>180</v>
      </c>
    </row>
    <row r="20" spans="1:4" x14ac:dyDescent="0.25">
      <c r="A20">
        <v>13</v>
      </c>
      <c r="B20" t="s">
        <v>171</v>
      </c>
      <c r="C20" t="s">
        <v>35</v>
      </c>
      <c r="D20" t="s">
        <v>172</v>
      </c>
    </row>
    <row r="21" spans="1:4" x14ac:dyDescent="0.25">
      <c r="A21">
        <v>14</v>
      </c>
      <c r="B21" t="s">
        <v>173</v>
      </c>
      <c r="C21" t="s">
        <v>168</v>
      </c>
      <c r="D21" t="s">
        <v>53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topLeftCell="DS1" workbookViewId="0">
      <selection activeCell="DW2" sqref="DW2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1" t="s">
        <v>181</v>
      </c>
      <c r="B1" s="19"/>
      <c r="C1" s="19"/>
      <c r="D1" s="19"/>
      <c r="E1" s="19"/>
      <c r="F1" s="19"/>
      <c r="H1" s="31" t="s">
        <v>182</v>
      </c>
      <c r="I1" s="19"/>
      <c r="J1" s="19"/>
      <c r="K1" s="19"/>
      <c r="L1" s="19"/>
      <c r="M1" s="19"/>
      <c r="O1" s="31" t="s">
        <v>183</v>
      </c>
      <c r="P1" s="19"/>
      <c r="Q1" s="19"/>
      <c r="R1" s="19"/>
      <c r="S1" s="19"/>
      <c r="T1" s="19"/>
      <c r="V1" s="31" t="s">
        <v>184</v>
      </c>
      <c r="W1" s="19"/>
      <c r="X1" s="19"/>
      <c r="Y1" s="19"/>
      <c r="Z1" s="19"/>
      <c r="AA1" s="19"/>
      <c r="AC1" s="31" t="s">
        <v>185</v>
      </c>
      <c r="AD1" s="19"/>
      <c r="AE1" s="19"/>
      <c r="AF1" s="19"/>
      <c r="AG1" s="19"/>
      <c r="AH1" s="19"/>
      <c r="AJ1" s="31" t="s">
        <v>186</v>
      </c>
      <c r="AK1" s="19"/>
      <c r="AL1" s="19"/>
      <c r="AM1" s="19"/>
      <c r="AN1" s="19"/>
      <c r="AO1" s="19"/>
      <c r="AQ1" s="31" t="s">
        <v>187</v>
      </c>
      <c r="AR1" s="19"/>
      <c r="AS1" s="19"/>
      <c r="AT1" s="19"/>
      <c r="AU1" s="19"/>
      <c r="AV1" s="19"/>
      <c r="AX1" s="31" t="s">
        <v>188</v>
      </c>
      <c r="AY1" s="19"/>
      <c r="AZ1" s="19"/>
      <c r="BA1" s="19"/>
      <c r="BB1" s="19"/>
      <c r="BC1" s="19"/>
      <c r="BE1" s="31" t="s">
        <v>189</v>
      </c>
      <c r="BF1" s="19"/>
      <c r="BG1" s="19"/>
      <c r="BH1" s="19"/>
      <c r="BI1" s="19"/>
      <c r="BJ1" s="19"/>
      <c r="BL1" s="31" t="s">
        <v>190</v>
      </c>
      <c r="BM1" s="19"/>
      <c r="BN1" s="19"/>
      <c r="BO1" s="19"/>
      <c r="BP1" s="19"/>
      <c r="BQ1" s="19"/>
      <c r="BS1" s="31" t="s">
        <v>191</v>
      </c>
      <c r="BT1" s="19"/>
      <c r="BU1" s="19"/>
      <c r="BV1" s="19"/>
      <c r="BW1" s="19"/>
      <c r="BX1" s="19"/>
      <c r="BZ1" s="31" t="s">
        <v>192</v>
      </c>
      <c r="CA1" s="19"/>
      <c r="CB1" s="19"/>
      <c r="CC1" s="19"/>
      <c r="CD1" s="19"/>
      <c r="CE1" s="19"/>
      <c r="CG1" s="31" t="s">
        <v>193</v>
      </c>
      <c r="CH1" s="19"/>
      <c r="CI1" s="19"/>
      <c r="CJ1" s="19"/>
      <c r="CK1" s="19"/>
      <c r="CL1" s="19"/>
      <c r="CN1" s="31" t="s">
        <v>194</v>
      </c>
      <c r="CO1" s="19"/>
      <c r="CP1" s="19"/>
      <c r="CQ1" s="19"/>
      <c r="CR1" s="19"/>
      <c r="CS1" s="19"/>
      <c r="CU1" s="31" t="s">
        <v>195</v>
      </c>
      <c r="CV1" s="19"/>
      <c r="CW1" s="19"/>
      <c r="CX1" s="19"/>
      <c r="CY1" s="19"/>
      <c r="CZ1" s="19"/>
      <c r="DB1" s="31" t="s">
        <v>196</v>
      </c>
      <c r="DC1" s="19"/>
      <c r="DD1" s="19"/>
      <c r="DE1" s="19"/>
      <c r="DF1" s="19"/>
      <c r="DG1" s="19"/>
      <c r="DI1" s="31" t="s">
        <v>197</v>
      </c>
      <c r="DJ1" s="19"/>
      <c r="DK1" s="19"/>
      <c r="DL1" s="19"/>
      <c r="DM1" s="19"/>
      <c r="DN1" s="19"/>
      <c r="DP1" s="31" t="s">
        <v>198</v>
      </c>
      <c r="DQ1" s="19"/>
      <c r="DR1" s="19"/>
      <c r="DS1" s="19"/>
      <c r="DT1" s="19"/>
      <c r="DU1" s="19"/>
      <c r="DW1" s="31" t="s">
        <v>310</v>
      </c>
      <c r="DX1" s="19"/>
      <c r="DY1" s="19"/>
      <c r="DZ1" s="19"/>
      <c r="EA1" s="19"/>
      <c r="EB1" s="19"/>
      <c r="ED1" s="31" t="s">
        <v>199</v>
      </c>
      <c r="EE1" s="19"/>
      <c r="EF1" s="19"/>
      <c r="EG1" s="19"/>
      <c r="EH1" s="19"/>
      <c r="EI1" s="19"/>
      <c r="EK1" s="31" t="s">
        <v>200</v>
      </c>
      <c r="EL1" s="19"/>
      <c r="EM1" s="19"/>
      <c r="EN1" s="19"/>
      <c r="EO1" s="19"/>
      <c r="EP1" s="19"/>
      <c r="ER1" s="31" t="s">
        <v>201</v>
      </c>
      <c r="ES1" s="19"/>
      <c r="ET1" s="19"/>
      <c r="EU1" s="19"/>
      <c r="EV1" s="19"/>
      <c r="EW1" s="19"/>
      <c r="EY1" s="31" t="s">
        <v>202</v>
      </c>
      <c r="EZ1" s="19"/>
      <c r="FA1" s="19"/>
      <c r="FB1" s="19"/>
      <c r="FC1" s="19"/>
      <c r="FD1" s="19"/>
    </row>
    <row r="2" spans="1:160" x14ac:dyDescent="0.25">
      <c r="A2" s="16" t="s">
        <v>10</v>
      </c>
      <c r="B2" s="16">
        <f>IFERROR(_xlfn.XLOOKUP(A1, TestMaster[Test Name], TestMaster[Test ID], "ID not found"), "")</f>
        <v>9</v>
      </c>
      <c r="H2" s="16" t="s">
        <v>10</v>
      </c>
      <c r="I2" s="16">
        <f>IFERROR(_xlfn.SINGLE(_xlfn.XLOOKUP(H1, TestMaster[Test Name], TestMaster[Test ID], "ID not found")), "")</f>
        <v>22</v>
      </c>
      <c r="O2" s="16" t="s">
        <v>10</v>
      </c>
      <c r="P2" s="16">
        <f>IFERROR(_xlfn.SINGLE(_xlfn.XLOOKUP(O1, TestMaster[Test Name], TestMaster[Test ID], "ID not found")), "")</f>
        <v>21</v>
      </c>
      <c r="V2" s="16" t="s">
        <v>10</v>
      </c>
      <c r="W2" s="16">
        <f>IFERROR(_xlfn.SINGLE(_xlfn.XLOOKUP(V1, TestMaster[Test Name], TestMaster[Test ID], "ID not found")), "")</f>
        <v>23</v>
      </c>
      <c r="AC2" s="16" t="s">
        <v>10</v>
      </c>
      <c r="AD2" s="16">
        <f>IFERROR(_xlfn.SINGLE(_xlfn.XLOOKUP(AC1, TestMaster[Test Name], TestMaster[Test ID], "ID not found")), "")</f>
        <v>15</v>
      </c>
      <c r="AJ2" s="16" t="s">
        <v>10</v>
      </c>
      <c r="AK2" s="16">
        <f>IFERROR(_xlfn.SINGLE(_xlfn.XLOOKUP(AJ1, TestMaster[Test Name], TestMaster[Test ID], "ID not found")), "")</f>
        <v>14</v>
      </c>
      <c r="AQ2" s="16" t="s">
        <v>10</v>
      </c>
      <c r="AR2" s="16">
        <f>IFERROR(_xlfn.SINGLE(_xlfn.XLOOKUP(AQ1, TestMaster[Test Name], TestMaster[Test ID], "ID not found")), "")</f>
        <v>17</v>
      </c>
      <c r="AX2" s="16" t="s">
        <v>10</v>
      </c>
      <c r="AY2" s="16">
        <f>IFERROR(_xlfn.SINGLE(_xlfn.XLOOKUP(AX1, TestMaster[Test Name], TestMaster[Test ID], "ID not found")), "")</f>
        <v>16</v>
      </c>
      <c r="BE2" s="16" t="s">
        <v>10</v>
      </c>
      <c r="BF2" s="16">
        <f>IFERROR(_xlfn.SINGLE(_xlfn.XLOOKUP(BE1, TestMaster[Test Name], TestMaster[Test ID], "ID not found")), "")</f>
        <v>11</v>
      </c>
      <c r="BL2" s="16" t="s">
        <v>10</v>
      </c>
      <c r="BM2" s="16">
        <f>IFERROR(_xlfn.SINGLE(_xlfn.XLOOKUP(BL1, TestMaster[Test Name], TestMaster[Test ID], "ID not found")), "")</f>
        <v>10</v>
      </c>
      <c r="BS2" s="16" t="s">
        <v>10</v>
      </c>
      <c r="BT2" s="16">
        <f>IFERROR(_xlfn.SINGLE(_xlfn.XLOOKUP(BS1, TestMaster[Test Name], TestMaster[Test ID], "ID not found")), "")</f>
        <v>13</v>
      </c>
      <c r="BZ2" s="16" t="s">
        <v>10</v>
      </c>
      <c r="CA2" s="16">
        <f>IFERROR(_xlfn.SINGLE(_xlfn.XLOOKUP(BZ1, TestMaster[Test Name], TestMaster[Test ID], "ID not found")), "")</f>
        <v>12</v>
      </c>
      <c r="CG2" s="16" t="s">
        <v>10</v>
      </c>
      <c r="CH2" s="16">
        <f>IFERROR(_xlfn.SINGLE(_xlfn.XLOOKUP(CG1, TestMaster[Test Name], TestMaster[Test ID], "ID not found")), "")</f>
        <v>4</v>
      </c>
      <c r="CN2" s="16" t="s">
        <v>10</v>
      </c>
      <c r="CO2" s="16">
        <f>IFERROR(_xlfn.SINGLE(_xlfn.XLOOKUP(CN1, TestMaster[Test Name], TestMaster[Test ID], "ID not found")), "")</f>
        <v>7</v>
      </c>
      <c r="CU2" s="16" t="s">
        <v>10</v>
      </c>
      <c r="CV2" s="16">
        <f>IFERROR(_xlfn.SINGLE(_xlfn.XLOOKUP(CU1, TestMaster[Test Name], TestMaster[Test ID], "ID not found")), "")</f>
        <v>6</v>
      </c>
      <c r="DB2" s="16" t="s">
        <v>10</v>
      </c>
      <c r="DC2" s="16">
        <f>IFERROR(_xlfn.SINGLE(_xlfn.XLOOKUP(DB1, TestMaster[Test Name], TestMaster[Test ID], "ID not found")), "")</f>
        <v>8</v>
      </c>
      <c r="DI2" s="16" t="s">
        <v>10</v>
      </c>
      <c r="DJ2" s="16">
        <f>IFERROR(_xlfn.SINGLE(_xlfn.XLOOKUP(DI1, TestMaster[Test Name], TestMaster[Test ID], "ID not found")), "")</f>
        <v>2</v>
      </c>
      <c r="DP2" s="16" t="s">
        <v>10</v>
      </c>
      <c r="DQ2" s="16">
        <f>IFERROR(_xlfn.SINGLE(_xlfn.XLOOKUP(DP1, TestMaster[Test Name], TestMaster[Test ID], "ID not found")), "")</f>
        <v>1</v>
      </c>
      <c r="DW2" s="16" t="s">
        <v>10</v>
      </c>
      <c r="DX2" s="16">
        <f>IFERROR(_xlfn.SINGLE(_xlfn.XLOOKUP(DW1, TestMaster[Test Name], TestMaster[Test ID], "ID not found")), "")</f>
        <v>3</v>
      </c>
      <c r="ED2" s="16" t="s">
        <v>10</v>
      </c>
      <c r="EE2" s="16">
        <f>IFERROR(_xlfn.SINGLE(_xlfn.XLOOKUP(ED1, TestMaster[Test Name], TestMaster[Test ID], "ID not found")), "")</f>
        <v>18</v>
      </c>
      <c r="EK2" s="16" t="s">
        <v>10</v>
      </c>
      <c r="EL2" s="16">
        <f>IFERROR(_xlfn.SINGLE(_xlfn.XLOOKUP(EK1, TestMaster[Test Name], TestMaster[Test ID], "ID not found")), "")</f>
        <v>19</v>
      </c>
      <c r="ER2" s="16" t="s">
        <v>10</v>
      </c>
      <c r="ES2" s="16">
        <f>IFERROR(_xlfn.SINGLE(_xlfn.XLOOKUP(ER1, TestMaster[Test Name], TestMaster[Test ID], "ID not found")), "")</f>
        <v>5</v>
      </c>
      <c r="EY2" s="16" t="s">
        <v>10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11</v>
      </c>
      <c r="B3" s="16"/>
      <c r="H3" s="16" t="s">
        <v>11</v>
      </c>
      <c r="I3" s="16"/>
      <c r="O3" s="16" t="s">
        <v>11</v>
      </c>
      <c r="P3" s="16"/>
      <c r="V3" s="16" t="s">
        <v>11</v>
      </c>
      <c r="W3" s="16"/>
      <c r="AC3" s="16" t="s">
        <v>11</v>
      </c>
      <c r="AD3" s="16"/>
      <c r="AJ3" s="16" t="s">
        <v>11</v>
      </c>
      <c r="AK3" s="16"/>
      <c r="AQ3" s="16" t="s">
        <v>11</v>
      </c>
      <c r="AR3" s="16"/>
      <c r="AX3" s="16" t="s">
        <v>11</v>
      </c>
      <c r="AY3" s="16"/>
      <c r="BE3" s="16" t="s">
        <v>11</v>
      </c>
      <c r="BF3" s="16"/>
      <c r="BL3" s="16" t="s">
        <v>11</v>
      </c>
      <c r="BM3" s="16"/>
      <c r="BS3" s="16" t="s">
        <v>11</v>
      </c>
      <c r="BT3" s="16"/>
      <c r="BZ3" s="16" t="s">
        <v>11</v>
      </c>
      <c r="CA3" s="16"/>
      <c r="CG3" s="16" t="s">
        <v>11</v>
      </c>
      <c r="CH3" s="16"/>
      <c r="CN3" s="16" t="s">
        <v>11</v>
      </c>
      <c r="CO3" s="16"/>
      <c r="CU3" s="16" t="s">
        <v>11</v>
      </c>
      <c r="CV3" s="16"/>
      <c r="DB3" s="16" t="s">
        <v>11</v>
      </c>
      <c r="DC3" s="16"/>
      <c r="DI3" s="16" t="s">
        <v>11</v>
      </c>
      <c r="DJ3" s="16"/>
      <c r="DP3" s="16" t="s">
        <v>11</v>
      </c>
      <c r="DQ3" s="16"/>
      <c r="DW3" s="16" t="s">
        <v>11</v>
      </c>
      <c r="DX3" s="16"/>
      <c r="ED3" s="16" t="s">
        <v>11</v>
      </c>
      <c r="EE3" s="16"/>
      <c r="EK3" s="16" t="s">
        <v>11</v>
      </c>
      <c r="EL3" s="16"/>
      <c r="ER3" s="16" t="s">
        <v>11</v>
      </c>
      <c r="ES3" s="16"/>
      <c r="EY3" s="16" t="s">
        <v>11</v>
      </c>
      <c r="EZ3" s="16"/>
    </row>
    <row r="4" spans="1:160" x14ac:dyDescent="0.25">
      <c r="A4" s="16" t="s">
        <v>12</v>
      </c>
      <c r="B4" s="16" t="str">
        <f>IFERROR(_xlfn.XLOOKUP(A1, TestMaster[Test Name], TestMaster[Test Priority], "Priority not found"), "")</f>
        <v>Medium</v>
      </c>
      <c r="H4" s="16" t="s">
        <v>12</v>
      </c>
      <c r="I4" s="16" t="str">
        <f>IFERROR(_xlfn.SINGLE(_xlfn.XLOOKUP(H1, TestMaster[Test Name], TestMaster[Test Priority], "Priority not found")), "")</f>
        <v>Medium</v>
      </c>
      <c r="O4" s="16" t="s">
        <v>12</v>
      </c>
      <c r="P4" s="16" t="str">
        <f>IFERROR(_xlfn.SINGLE(_xlfn.XLOOKUP(O1, TestMaster[Test Name], TestMaster[Test Priority], "Priority not found")), "")</f>
        <v>Medium</v>
      </c>
      <c r="V4" s="16" t="s">
        <v>12</v>
      </c>
      <c r="W4" s="16" t="str">
        <f>IFERROR(_xlfn.SINGLE(_xlfn.XLOOKUP(V1, TestMaster[Test Name], TestMaster[Test Priority], "Priority not found")), "")</f>
        <v>Medium</v>
      </c>
      <c r="AC4" s="16" t="s">
        <v>12</v>
      </c>
      <c r="AD4" s="16">
        <f>IFERROR(_xlfn.SINGLE(_xlfn.XLOOKUP(AC1, TestMaster[Test Name], TestMaster[Test Priority], "Priority not found")), "")</f>
        <v>0</v>
      </c>
      <c r="AJ4" s="16" t="s">
        <v>12</v>
      </c>
      <c r="AK4" s="16">
        <f>IFERROR(_xlfn.SINGLE(_xlfn.XLOOKUP(AJ1, TestMaster[Test Name], TestMaster[Test Priority], "Priority not found")), "")</f>
        <v>0</v>
      </c>
      <c r="AQ4" s="16" t="s">
        <v>12</v>
      </c>
      <c r="AR4" s="16">
        <f>IFERROR(_xlfn.SINGLE(_xlfn.XLOOKUP(AQ1, TestMaster[Test Name], TestMaster[Test Priority], "Priority not found")), "")</f>
        <v>0</v>
      </c>
      <c r="AX4" s="16" t="s">
        <v>12</v>
      </c>
      <c r="AY4" s="16">
        <f>IFERROR(_xlfn.SINGLE(_xlfn.XLOOKUP(AX1, TestMaster[Test Name], TestMaster[Test Priority], "Priority not found")), "")</f>
        <v>0</v>
      </c>
      <c r="BE4" s="16" t="s">
        <v>12</v>
      </c>
      <c r="BF4" s="16">
        <f>IFERROR(_xlfn.SINGLE(_xlfn.XLOOKUP(BE1, TestMaster[Test Name], TestMaster[Test Priority], "Priority not found")), "")</f>
        <v>0</v>
      </c>
      <c r="BL4" s="16" t="s">
        <v>12</v>
      </c>
      <c r="BM4" s="16">
        <f>IFERROR(_xlfn.SINGLE(_xlfn.XLOOKUP(BL1, TestMaster[Test Name], TestMaster[Test Priority], "Priority not found")), "")</f>
        <v>0</v>
      </c>
      <c r="BS4" s="16" t="s">
        <v>12</v>
      </c>
      <c r="BT4" s="16">
        <f>IFERROR(_xlfn.SINGLE(_xlfn.XLOOKUP(BS1, TestMaster[Test Name], TestMaster[Test Priority], "Priority not found")), "")</f>
        <v>0</v>
      </c>
      <c r="BZ4" s="16" t="s">
        <v>12</v>
      </c>
      <c r="CA4" s="16">
        <f>IFERROR(_xlfn.SINGLE(_xlfn.XLOOKUP(BZ1, TestMaster[Test Name], TestMaster[Test Priority], "Priority not found")), "")</f>
        <v>0</v>
      </c>
      <c r="CG4" s="16" t="s">
        <v>12</v>
      </c>
      <c r="CH4" s="16">
        <f>IFERROR(_xlfn.SINGLE(_xlfn.XLOOKUP(CG1, TestMaster[Test Name], TestMaster[Test Priority], "Priority not found")), "")</f>
        <v>0</v>
      </c>
      <c r="CN4" s="16" t="s">
        <v>12</v>
      </c>
      <c r="CO4" s="16">
        <f>IFERROR(_xlfn.SINGLE(_xlfn.XLOOKUP(CN1, TestMaster[Test Name], TestMaster[Test Priority], "Priority not found")), "")</f>
        <v>0</v>
      </c>
      <c r="CU4" s="16" t="s">
        <v>12</v>
      </c>
      <c r="CV4" s="16">
        <f>IFERROR(_xlfn.SINGLE(_xlfn.XLOOKUP(CU1, TestMaster[Test Name], TestMaster[Test Priority], "Priority not found")), "")</f>
        <v>0</v>
      </c>
      <c r="DB4" s="16" t="s">
        <v>12</v>
      </c>
      <c r="DC4" s="16">
        <f>IFERROR(_xlfn.SINGLE(_xlfn.XLOOKUP(DB1, TestMaster[Test Name], TestMaster[Test Priority], "Priority not found")), "")</f>
        <v>0</v>
      </c>
      <c r="DI4" s="16" t="s">
        <v>12</v>
      </c>
      <c r="DJ4" s="16">
        <f>IFERROR(_xlfn.SINGLE(_xlfn.XLOOKUP(DI1, TestMaster[Test Name], TestMaster[Test Priority], "Priority not found")), "")</f>
        <v>0</v>
      </c>
      <c r="DP4" s="16" t="s">
        <v>12</v>
      </c>
      <c r="DQ4" s="16">
        <f>IFERROR(_xlfn.SINGLE(_xlfn.XLOOKUP(DP1, TestMaster[Test Name], TestMaster[Test Priority], "Priority not found")), "")</f>
        <v>0</v>
      </c>
      <c r="DW4" s="16" t="s">
        <v>12</v>
      </c>
      <c r="DX4" s="16">
        <f>IFERROR(_xlfn.SINGLE(_xlfn.XLOOKUP(DW1, TestMaster[Test Name], TestMaster[Test Priority], "Priority not found")), "")</f>
        <v>0</v>
      </c>
      <c r="ED4" s="16" t="s">
        <v>12</v>
      </c>
      <c r="EE4" s="16">
        <f>IFERROR(_xlfn.SINGLE(_xlfn.XLOOKUP(ED1, TestMaster[Test Name], TestMaster[Test Priority], "Priority not found")), "")</f>
        <v>0</v>
      </c>
      <c r="EK4" s="16" t="s">
        <v>12</v>
      </c>
      <c r="EL4" s="16">
        <f>IFERROR(_xlfn.SINGLE(_xlfn.XLOOKUP(EK1, TestMaster[Test Name], TestMaster[Test Priority], "Priority not found")), "")</f>
        <v>0</v>
      </c>
      <c r="ER4" s="16" t="s">
        <v>12</v>
      </c>
      <c r="ES4" s="16">
        <f>IFERROR(_xlfn.SINGLE(_xlfn.XLOOKUP(ER1, TestMaster[Test Name], TestMaster[Test Priority], "Priority not found")), "")</f>
        <v>0</v>
      </c>
      <c r="EY4" s="16" t="s">
        <v>12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13</v>
      </c>
      <c r="B5" s="16" t="str">
        <f>IFERROR(_xlfn.SINGLE(_xlfn.XLOOKUP(A1, TestMaster[Test Name], TestMaster[Test Status], "Status not found")), "")</f>
        <v>Fail</v>
      </c>
      <c r="H5" s="16" t="s">
        <v>13</v>
      </c>
      <c r="I5" s="16" t="str">
        <f>IFERROR(_xlfn.SINGLE(_xlfn.XLOOKUP(H1, TestMaster[Test Name], TestMaster[Test Status], "Status not found")), "")</f>
        <v>Pass</v>
      </c>
      <c r="O5" s="16" t="s">
        <v>13</v>
      </c>
      <c r="P5" s="16" t="str">
        <f>IFERROR(_xlfn.SINGLE(_xlfn.XLOOKUP(O1, TestMaster[Test Name], TestMaster[Test Status], "Status not found")), "")</f>
        <v>Pass</v>
      </c>
      <c r="V5" s="16" t="s">
        <v>13</v>
      </c>
      <c r="W5" s="16" t="str">
        <f>IFERROR(_xlfn.SINGLE(_xlfn.XLOOKUP(V1, TestMaster[Test Name], TestMaster[Test Status], "Status not found")), "")</f>
        <v>Pass</v>
      </c>
      <c r="AC5" s="16" t="s">
        <v>13</v>
      </c>
      <c r="AD5" s="16" t="str">
        <f>IFERROR(_xlfn.SINGLE(_xlfn.XLOOKUP(AC1, TestMaster[Test Name], TestMaster[Test Status], "Status not found")), "")</f>
        <v>Fail</v>
      </c>
      <c r="AJ5" s="16" t="s">
        <v>13</v>
      </c>
      <c r="AK5" s="16" t="str">
        <f>IFERROR(_xlfn.SINGLE(_xlfn.XLOOKUP(AJ1, TestMaster[Test Name], TestMaster[Test Status], "Status not found")), "")</f>
        <v>Fail</v>
      </c>
      <c r="AQ5" s="16" t="s">
        <v>13</v>
      </c>
      <c r="AR5" s="16" t="str">
        <f>IFERROR(_xlfn.SINGLE(_xlfn.XLOOKUP(AQ1, TestMaster[Test Name], TestMaster[Test Status], "Status not found")), "")</f>
        <v>Pass</v>
      </c>
      <c r="AX5" s="16" t="s">
        <v>13</v>
      </c>
      <c r="AY5" s="16" t="str">
        <f>IFERROR(_xlfn.SINGLE(_xlfn.XLOOKUP(AX1, TestMaster[Test Name], TestMaster[Test Status], "Status not found")), "")</f>
        <v>Pass</v>
      </c>
      <c r="BE5" s="16" t="s">
        <v>13</v>
      </c>
      <c r="BF5" s="16" t="str">
        <f>IFERROR(_xlfn.SINGLE(_xlfn.XLOOKUP(BE1, TestMaster[Test Name], TestMaster[Test Status], "Status not found")), "")</f>
        <v>Pass</v>
      </c>
      <c r="BL5" s="16" t="s">
        <v>13</v>
      </c>
      <c r="BM5" s="16" t="str">
        <f>IFERROR(_xlfn.SINGLE(_xlfn.XLOOKUP(BL1, TestMaster[Test Name], TestMaster[Test Status], "Status not found")), "")</f>
        <v>Pass</v>
      </c>
      <c r="BS5" s="16" t="s">
        <v>13</v>
      </c>
      <c r="BT5" s="16" t="str">
        <f>IFERROR(_xlfn.SINGLE(_xlfn.XLOOKUP(BS1, TestMaster[Test Name], TestMaster[Test Status], "Status not found")), "")</f>
        <v>Fail</v>
      </c>
      <c r="BZ5" s="16" t="s">
        <v>13</v>
      </c>
      <c r="CA5" s="16" t="str">
        <f>IFERROR(_xlfn.SINGLE(_xlfn.XLOOKUP(BZ1, TestMaster[Test Name], TestMaster[Test Status], "Status not found")), "")</f>
        <v>Fail</v>
      </c>
      <c r="CG5" s="16" t="s">
        <v>13</v>
      </c>
      <c r="CH5" s="16" t="str">
        <f>IFERROR(_xlfn.SINGLE(_xlfn.XLOOKUP(CG1, TestMaster[Test Name], TestMaster[Test Status], "Status not found")), "")</f>
        <v>Fail</v>
      </c>
      <c r="CN5" s="16" t="s">
        <v>13</v>
      </c>
      <c r="CO5" s="16" t="str">
        <f>IFERROR(_xlfn.SINGLE(_xlfn.XLOOKUP(CN1, TestMaster[Test Name], TestMaster[Test Status], "Status not found")), "")</f>
        <v>Fail</v>
      </c>
      <c r="CU5" s="16" t="s">
        <v>13</v>
      </c>
      <c r="CV5" s="16" t="str">
        <f>IFERROR(_xlfn.SINGLE(_xlfn.XLOOKUP(CU1, TestMaster[Test Name], TestMaster[Test Status], "Status not found")), "")</f>
        <v>Pass</v>
      </c>
      <c r="DB5" s="16" t="s">
        <v>13</v>
      </c>
      <c r="DC5" s="16" t="str">
        <f>IFERROR(_xlfn.SINGLE(_xlfn.XLOOKUP(DB1, TestMaster[Test Name], TestMaster[Test Status], "Status not found")), "")</f>
        <v>Fail</v>
      </c>
      <c r="DI5" s="16" t="s">
        <v>13</v>
      </c>
      <c r="DJ5" s="16" t="str">
        <f>IFERROR(_xlfn.SINGLE(_xlfn.XLOOKUP(DI1, TestMaster[Test Name], TestMaster[Test Status], "Status not found")), "")</f>
        <v>Fail</v>
      </c>
      <c r="DP5" s="16" t="s">
        <v>13</v>
      </c>
      <c r="DQ5" s="16" t="str">
        <f>IFERROR(_xlfn.SINGLE(_xlfn.XLOOKUP(DP1, TestMaster[Test Name], TestMaster[Test Status], "Status not found")), "")</f>
        <v>Fail</v>
      </c>
      <c r="DW5" s="16" t="s">
        <v>13</v>
      </c>
      <c r="DX5" s="16" t="str">
        <f>IFERROR(_xlfn.SINGLE(_xlfn.XLOOKUP(DW1, TestMaster[Test Name], TestMaster[Test Status], "Status not found")), "")</f>
        <v>Fail</v>
      </c>
      <c r="ED5" s="16" t="s">
        <v>13</v>
      </c>
      <c r="EE5" s="16" t="str">
        <f>IFERROR(_xlfn.SINGLE(_xlfn.XLOOKUP(ED1, TestMaster[Test Name], TestMaster[Test Status], "Status not found")), "")</f>
        <v>Pass</v>
      </c>
      <c r="EK5" s="16" t="s">
        <v>13</v>
      </c>
      <c r="EL5" s="16" t="str">
        <f>IFERROR(_xlfn.SINGLE(_xlfn.XLOOKUP(EK1, TestMaster[Test Name], TestMaster[Test Status], "Status not found")), "")</f>
        <v>Pass</v>
      </c>
      <c r="ER5" s="16" t="s">
        <v>13</v>
      </c>
      <c r="ES5" s="16" t="str">
        <f>IFERROR(_xlfn.SINGLE(_xlfn.XLOOKUP(ER1, TestMaster[Test Name], TestMaster[Test Status], "Status not found")), "")</f>
        <v>Pass</v>
      </c>
      <c r="EY5" s="16" t="s">
        <v>13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57</v>
      </c>
      <c r="B6" s="30" t="s">
        <v>203</v>
      </c>
      <c r="C6" s="19"/>
      <c r="D6" s="19"/>
      <c r="E6" s="19"/>
      <c r="F6" s="19"/>
      <c r="H6" s="16" t="s">
        <v>57</v>
      </c>
      <c r="I6" s="30" t="s">
        <v>204</v>
      </c>
      <c r="J6" s="19"/>
      <c r="K6" s="19"/>
      <c r="L6" s="19"/>
      <c r="M6" s="19"/>
      <c r="O6" s="16" t="s">
        <v>57</v>
      </c>
      <c r="P6" s="30" t="s">
        <v>205</v>
      </c>
      <c r="Q6" s="19"/>
      <c r="R6" s="19"/>
      <c r="S6" s="19"/>
      <c r="T6" s="19"/>
      <c r="V6" s="16" t="s">
        <v>57</v>
      </c>
      <c r="W6" s="30" t="s">
        <v>206</v>
      </c>
      <c r="X6" s="19"/>
      <c r="Y6" s="19"/>
      <c r="Z6" s="19"/>
      <c r="AA6" s="19"/>
      <c r="AC6" s="16" t="s">
        <v>57</v>
      </c>
      <c r="AD6" s="30" t="s">
        <v>207</v>
      </c>
      <c r="AE6" s="19"/>
      <c r="AF6" s="19"/>
      <c r="AG6" s="19"/>
      <c r="AH6" s="19"/>
      <c r="AJ6" s="16" t="s">
        <v>57</v>
      </c>
      <c r="AK6" s="30" t="s">
        <v>208</v>
      </c>
      <c r="AL6" s="19"/>
      <c r="AM6" s="19"/>
      <c r="AN6" s="19"/>
      <c r="AO6" s="19"/>
      <c r="AQ6" s="16" t="s">
        <v>57</v>
      </c>
      <c r="AR6" s="30" t="s">
        <v>209</v>
      </c>
      <c r="AS6" s="19"/>
      <c r="AT6" s="19"/>
      <c r="AU6" s="19"/>
      <c r="AV6" s="19"/>
      <c r="AX6" s="16" t="s">
        <v>57</v>
      </c>
      <c r="AY6" s="30" t="s">
        <v>210</v>
      </c>
      <c r="AZ6" s="19"/>
      <c r="BA6" s="19"/>
      <c r="BB6" s="19"/>
      <c r="BC6" s="19"/>
      <c r="BE6" s="16" t="s">
        <v>57</v>
      </c>
      <c r="BF6" s="30" t="s">
        <v>211</v>
      </c>
      <c r="BG6" s="19"/>
      <c r="BH6" s="19"/>
      <c r="BI6" s="19"/>
      <c r="BJ6" s="19"/>
      <c r="BL6" s="16" t="s">
        <v>57</v>
      </c>
      <c r="BM6" s="30" t="s">
        <v>212</v>
      </c>
      <c r="BN6" s="19"/>
      <c r="BO6" s="19"/>
      <c r="BP6" s="19"/>
      <c r="BQ6" s="19"/>
      <c r="BS6" s="16" t="s">
        <v>57</v>
      </c>
      <c r="BT6" s="30" t="s">
        <v>213</v>
      </c>
      <c r="BU6" s="19"/>
      <c r="BV6" s="19"/>
      <c r="BW6" s="19"/>
      <c r="BX6" s="19"/>
      <c r="BZ6" s="16" t="s">
        <v>57</v>
      </c>
      <c r="CA6" s="30" t="s">
        <v>214</v>
      </c>
      <c r="CB6" s="19"/>
      <c r="CC6" s="19"/>
      <c r="CD6" s="19"/>
      <c r="CE6" s="19"/>
      <c r="CG6" s="16" t="s">
        <v>57</v>
      </c>
      <c r="CH6" s="30" t="s">
        <v>215</v>
      </c>
      <c r="CI6" s="19"/>
      <c r="CJ6" s="19"/>
      <c r="CK6" s="19"/>
      <c r="CL6" s="19"/>
      <c r="CN6" s="16" t="s">
        <v>57</v>
      </c>
      <c r="CO6" s="30" t="s">
        <v>216</v>
      </c>
      <c r="CP6" s="19"/>
      <c r="CQ6" s="19"/>
      <c r="CR6" s="19"/>
      <c r="CS6" s="19"/>
      <c r="CU6" s="16" t="s">
        <v>57</v>
      </c>
      <c r="CV6" s="30" t="s">
        <v>217</v>
      </c>
      <c r="CW6" s="19"/>
      <c r="CX6" s="19"/>
      <c r="CY6" s="19"/>
      <c r="CZ6" s="19"/>
      <c r="DB6" s="16" t="s">
        <v>57</v>
      </c>
      <c r="DC6" s="30" t="s">
        <v>218</v>
      </c>
      <c r="DD6" s="19"/>
      <c r="DE6" s="19"/>
      <c r="DF6" s="19"/>
      <c r="DG6" s="19"/>
      <c r="DI6" s="16" t="s">
        <v>57</v>
      </c>
      <c r="DJ6" s="30" t="s">
        <v>219</v>
      </c>
      <c r="DK6" s="19"/>
      <c r="DL6" s="19"/>
      <c r="DM6" s="19"/>
      <c r="DN6" s="19"/>
      <c r="DP6" s="16" t="s">
        <v>57</v>
      </c>
      <c r="DQ6" s="30" t="s">
        <v>220</v>
      </c>
      <c r="DR6" s="19"/>
      <c r="DS6" s="19"/>
      <c r="DT6" s="19"/>
      <c r="DU6" s="19"/>
      <c r="DW6" s="16" t="s">
        <v>57</v>
      </c>
      <c r="DX6" s="30" t="s">
        <v>221</v>
      </c>
      <c r="DY6" s="19"/>
      <c r="DZ6" s="19"/>
      <c r="EA6" s="19"/>
      <c r="EB6" s="19"/>
      <c r="ED6" s="16" t="s">
        <v>57</v>
      </c>
      <c r="EE6" s="30" t="s">
        <v>222</v>
      </c>
      <c r="EF6" s="19"/>
      <c r="EG6" s="19"/>
      <c r="EH6" s="19"/>
      <c r="EI6" s="19"/>
      <c r="EK6" s="16" t="s">
        <v>57</v>
      </c>
      <c r="EL6" s="30" t="s">
        <v>223</v>
      </c>
      <c r="EM6" s="19"/>
      <c r="EN6" s="19"/>
      <c r="EO6" s="19"/>
      <c r="EP6" s="19"/>
      <c r="ER6" s="16" t="s">
        <v>57</v>
      </c>
      <c r="ES6" s="30" t="s">
        <v>224</v>
      </c>
      <c r="ET6" s="19"/>
      <c r="EU6" s="19"/>
      <c r="EV6" s="19"/>
      <c r="EW6" s="19"/>
      <c r="EY6" s="16" t="s">
        <v>57</v>
      </c>
      <c r="EZ6" s="30" t="s">
        <v>225</v>
      </c>
      <c r="FA6" s="19"/>
      <c r="FB6" s="19"/>
      <c r="FC6" s="19"/>
      <c r="FD6" s="19"/>
    </row>
    <row r="7" spans="1:160" x14ac:dyDescent="0.25">
      <c r="A7" s="16" t="s">
        <v>15</v>
      </c>
      <c r="B7" s="30" t="s">
        <v>226</v>
      </c>
      <c r="C7" s="19"/>
      <c r="D7" s="19"/>
      <c r="E7" s="19"/>
      <c r="F7" s="19"/>
      <c r="H7" s="16" t="s">
        <v>15</v>
      </c>
      <c r="I7" s="30" t="s">
        <v>226</v>
      </c>
      <c r="J7" s="19"/>
      <c r="K7" s="19"/>
      <c r="L7" s="19"/>
      <c r="M7" s="19"/>
      <c r="O7" s="16" t="s">
        <v>15</v>
      </c>
      <c r="P7" s="30" t="s">
        <v>226</v>
      </c>
      <c r="Q7" s="19"/>
      <c r="R7" s="19"/>
      <c r="S7" s="19"/>
      <c r="T7" s="19"/>
      <c r="V7" s="16" t="s">
        <v>15</v>
      </c>
      <c r="W7" s="30" t="s">
        <v>226</v>
      </c>
      <c r="X7" s="19"/>
      <c r="Y7" s="19"/>
      <c r="Z7" s="19"/>
      <c r="AA7" s="19"/>
      <c r="AC7" s="16" t="s">
        <v>15</v>
      </c>
      <c r="AD7" s="30" t="s">
        <v>226</v>
      </c>
      <c r="AE7" s="19"/>
      <c r="AF7" s="19"/>
      <c r="AG7" s="19"/>
      <c r="AH7" s="19"/>
      <c r="AJ7" s="16" t="s">
        <v>15</v>
      </c>
      <c r="AK7" s="30" t="s">
        <v>226</v>
      </c>
      <c r="AL7" s="19"/>
      <c r="AM7" s="19"/>
      <c r="AN7" s="19"/>
      <c r="AO7" s="19"/>
      <c r="AQ7" s="16" t="s">
        <v>15</v>
      </c>
      <c r="AR7" s="30" t="s">
        <v>226</v>
      </c>
      <c r="AS7" s="19"/>
      <c r="AT7" s="19"/>
      <c r="AU7" s="19"/>
      <c r="AV7" s="19"/>
      <c r="AX7" s="16" t="s">
        <v>15</v>
      </c>
      <c r="AY7" s="30" t="s">
        <v>226</v>
      </c>
      <c r="AZ7" s="19"/>
      <c r="BA7" s="19"/>
      <c r="BB7" s="19"/>
      <c r="BC7" s="19"/>
      <c r="BE7" s="16" t="s">
        <v>15</v>
      </c>
      <c r="BF7" s="30" t="s">
        <v>226</v>
      </c>
      <c r="BG7" s="19"/>
      <c r="BH7" s="19"/>
      <c r="BI7" s="19"/>
      <c r="BJ7" s="19"/>
      <c r="BL7" s="16" t="s">
        <v>15</v>
      </c>
      <c r="BM7" s="30" t="s">
        <v>226</v>
      </c>
      <c r="BN7" s="19"/>
      <c r="BO7" s="19"/>
      <c r="BP7" s="19"/>
      <c r="BQ7" s="19"/>
      <c r="BS7" s="16" t="s">
        <v>15</v>
      </c>
      <c r="BT7" s="30" t="s">
        <v>226</v>
      </c>
      <c r="BU7" s="19"/>
      <c r="BV7" s="19"/>
      <c r="BW7" s="19"/>
      <c r="BX7" s="19"/>
      <c r="BZ7" s="16" t="s">
        <v>15</v>
      </c>
      <c r="CA7" s="30" t="s">
        <v>226</v>
      </c>
      <c r="CB7" s="19"/>
      <c r="CC7" s="19"/>
      <c r="CD7" s="19"/>
      <c r="CE7" s="19"/>
      <c r="CG7" s="16" t="s">
        <v>15</v>
      </c>
      <c r="CH7" s="30" t="s">
        <v>226</v>
      </c>
      <c r="CI7" s="19"/>
      <c r="CJ7" s="19"/>
      <c r="CK7" s="19"/>
      <c r="CL7" s="19"/>
      <c r="CN7" s="16" t="s">
        <v>15</v>
      </c>
      <c r="CO7" s="30" t="s">
        <v>226</v>
      </c>
      <c r="CP7" s="19"/>
      <c r="CQ7" s="19"/>
      <c r="CR7" s="19"/>
      <c r="CS7" s="19"/>
      <c r="CU7" s="16" t="s">
        <v>15</v>
      </c>
      <c r="CV7" s="30" t="s">
        <v>226</v>
      </c>
      <c r="CW7" s="19"/>
      <c r="CX7" s="19"/>
      <c r="CY7" s="19"/>
      <c r="CZ7" s="19"/>
      <c r="DB7" s="16" t="s">
        <v>15</v>
      </c>
      <c r="DC7" s="30" t="s">
        <v>226</v>
      </c>
      <c r="DD7" s="19"/>
      <c r="DE7" s="19"/>
      <c r="DF7" s="19"/>
      <c r="DG7" s="19"/>
      <c r="DI7" s="16" t="s">
        <v>15</v>
      </c>
      <c r="DJ7" s="30" t="s">
        <v>226</v>
      </c>
      <c r="DK7" s="19"/>
      <c r="DL7" s="19"/>
      <c r="DM7" s="19"/>
      <c r="DN7" s="19"/>
      <c r="DP7" s="16" t="s">
        <v>15</v>
      </c>
      <c r="DQ7" s="30" t="s">
        <v>226</v>
      </c>
      <c r="DR7" s="19"/>
      <c r="DS7" s="19"/>
      <c r="DT7" s="19"/>
      <c r="DU7" s="19"/>
      <c r="DW7" s="16" t="s">
        <v>15</v>
      </c>
      <c r="DX7" s="30" t="s">
        <v>226</v>
      </c>
      <c r="DY7" s="19"/>
      <c r="DZ7" s="19"/>
      <c r="EA7" s="19"/>
      <c r="EB7" s="19"/>
      <c r="ED7" s="16" t="s">
        <v>15</v>
      </c>
      <c r="EE7" s="30" t="s">
        <v>226</v>
      </c>
      <c r="EF7" s="19"/>
      <c r="EG7" s="19"/>
      <c r="EH7" s="19"/>
      <c r="EI7" s="19"/>
      <c r="EK7" s="16" t="s">
        <v>15</v>
      </c>
      <c r="EL7" s="30" t="s">
        <v>226</v>
      </c>
      <c r="EM7" s="19"/>
      <c r="EN7" s="19"/>
      <c r="EO7" s="19"/>
      <c r="EP7" s="19"/>
      <c r="ER7" s="16" t="s">
        <v>15</v>
      </c>
      <c r="ES7" s="30" t="s">
        <v>226</v>
      </c>
      <c r="ET7" s="19"/>
      <c r="EU7" s="19"/>
      <c r="EV7" s="19"/>
      <c r="EW7" s="19"/>
      <c r="EY7" s="16" t="s">
        <v>15</v>
      </c>
      <c r="EZ7" s="30" t="s">
        <v>226</v>
      </c>
      <c r="FA7" s="19"/>
      <c r="FB7" s="19"/>
      <c r="FC7" s="19"/>
      <c r="FD7" s="19"/>
    </row>
    <row r="8" spans="1:160" x14ac:dyDescent="0.25">
      <c r="A8" s="16" t="s">
        <v>16</v>
      </c>
      <c r="B8" s="16" t="s">
        <v>17</v>
      </c>
      <c r="C8" s="16" t="s">
        <v>18</v>
      </c>
      <c r="D8" s="16" t="s">
        <v>19</v>
      </c>
      <c r="E8" s="16" t="s">
        <v>20</v>
      </c>
      <c r="F8" s="16" t="s">
        <v>21</v>
      </c>
      <c r="H8" s="16" t="s">
        <v>16</v>
      </c>
      <c r="I8" s="16" t="s">
        <v>17</v>
      </c>
      <c r="J8" s="16" t="s">
        <v>18</v>
      </c>
      <c r="K8" s="16" t="s">
        <v>19</v>
      </c>
      <c r="L8" s="16" t="s">
        <v>20</v>
      </c>
      <c r="M8" s="16" t="s">
        <v>21</v>
      </c>
      <c r="O8" s="16" t="s">
        <v>16</v>
      </c>
      <c r="P8" s="16" t="s">
        <v>17</v>
      </c>
      <c r="Q8" s="16" t="s">
        <v>18</v>
      </c>
      <c r="R8" s="16" t="s">
        <v>19</v>
      </c>
      <c r="S8" s="16" t="s">
        <v>20</v>
      </c>
      <c r="T8" s="16" t="s">
        <v>21</v>
      </c>
      <c r="V8" s="16" t="s">
        <v>16</v>
      </c>
      <c r="W8" s="16" t="s">
        <v>17</v>
      </c>
      <c r="X8" s="16" t="s">
        <v>18</v>
      </c>
      <c r="Y8" s="16" t="s">
        <v>19</v>
      </c>
      <c r="Z8" s="16" t="s">
        <v>20</v>
      </c>
      <c r="AA8" s="16" t="s">
        <v>21</v>
      </c>
      <c r="AC8" s="16" t="s">
        <v>16</v>
      </c>
      <c r="AD8" s="16" t="s">
        <v>17</v>
      </c>
      <c r="AE8" s="16" t="s">
        <v>18</v>
      </c>
      <c r="AF8" s="16" t="s">
        <v>19</v>
      </c>
      <c r="AG8" s="16" t="s">
        <v>20</v>
      </c>
      <c r="AH8" s="16" t="s">
        <v>21</v>
      </c>
      <c r="AJ8" s="16" t="s">
        <v>16</v>
      </c>
      <c r="AK8" s="16" t="s">
        <v>17</v>
      </c>
      <c r="AL8" s="16" t="s">
        <v>18</v>
      </c>
      <c r="AM8" s="16" t="s">
        <v>19</v>
      </c>
      <c r="AN8" s="16" t="s">
        <v>20</v>
      </c>
      <c r="AO8" s="16" t="s">
        <v>21</v>
      </c>
      <c r="AQ8" s="16" t="s">
        <v>16</v>
      </c>
      <c r="AR8" s="16" t="s">
        <v>17</v>
      </c>
      <c r="AS8" s="16" t="s">
        <v>18</v>
      </c>
      <c r="AT8" s="16" t="s">
        <v>19</v>
      </c>
      <c r="AU8" s="16" t="s">
        <v>20</v>
      </c>
      <c r="AV8" s="16" t="s">
        <v>21</v>
      </c>
      <c r="AX8" s="16" t="s">
        <v>16</v>
      </c>
      <c r="AY8" s="16" t="s">
        <v>17</v>
      </c>
      <c r="AZ8" s="16" t="s">
        <v>18</v>
      </c>
      <c r="BA8" s="16" t="s">
        <v>19</v>
      </c>
      <c r="BB8" s="16" t="s">
        <v>20</v>
      </c>
      <c r="BC8" s="16" t="s">
        <v>21</v>
      </c>
      <c r="BE8" s="16" t="s">
        <v>16</v>
      </c>
      <c r="BF8" s="16" t="s">
        <v>17</v>
      </c>
      <c r="BG8" s="16" t="s">
        <v>18</v>
      </c>
      <c r="BH8" s="16" t="s">
        <v>19</v>
      </c>
      <c r="BI8" s="16" t="s">
        <v>20</v>
      </c>
      <c r="BJ8" s="16" t="s">
        <v>21</v>
      </c>
      <c r="BL8" s="16" t="s">
        <v>16</v>
      </c>
      <c r="BM8" s="16" t="s">
        <v>17</v>
      </c>
      <c r="BN8" s="16" t="s">
        <v>18</v>
      </c>
      <c r="BO8" s="16" t="s">
        <v>19</v>
      </c>
      <c r="BP8" s="16" t="s">
        <v>20</v>
      </c>
      <c r="BQ8" s="16" t="s">
        <v>21</v>
      </c>
      <c r="BS8" s="16" t="s">
        <v>16</v>
      </c>
      <c r="BT8" s="16" t="s">
        <v>17</v>
      </c>
      <c r="BU8" s="16" t="s">
        <v>18</v>
      </c>
      <c r="BV8" s="16" t="s">
        <v>19</v>
      </c>
      <c r="BW8" s="16" t="s">
        <v>20</v>
      </c>
      <c r="BX8" s="16" t="s">
        <v>21</v>
      </c>
      <c r="BZ8" s="16" t="s">
        <v>16</v>
      </c>
      <c r="CA8" s="16" t="s">
        <v>17</v>
      </c>
      <c r="CB8" s="16" t="s">
        <v>18</v>
      </c>
      <c r="CC8" s="16" t="s">
        <v>19</v>
      </c>
      <c r="CD8" s="16" t="s">
        <v>20</v>
      </c>
      <c r="CE8" s="16" t="s">
        <v>21</v>
      </c>
      <c r="CG8" s="16" t="s">
        <v>16</v>
      </c>
      <c r="CH8" s="16" t="s">
        <v>17</v>
      </c>
      <c r="CI8" s="16" t="s">
        <v>18</v>
      </c>
      <c r="CJ8" s="16" t="s">
        <v>19</v>
      </c>
      <c r="CK8" s="16" t="s">
        <v>20</v>
      </c>
      <c r="CL8" s="16" t="s">
        <v>21</v>
      </c>
      <c r="CN8" s="16" t="s">
        <v>16</v>
      </c>
      <c r="CO8" s="16" t="s">
        <v>17</v>
      </c>
      <c r="CP8" s="16" t="s">
        <v>18</v>
      </c>
      <c r="CQ8" s="16" t="s">
        <v>19</v>
      </c>
      <c r="CR8" s="16" t="s">
        <v>20</v>
      </c>
      <c r="CS8" s="16" t="s">
        <v>21</v>
      </c>
      <c r="CU8" s="16" t="s">
        <v>16</v>
      </c>
      <c r="CV8" s="16" t="s">
        <v>17</v>
      </c>
      <c r="CW8" s="16" t="s">
        <v>18</v>
      </c>
      <c r="CX8" s="16" t="s">
        <v>19</v>
      </c>
      <c r="CY8" s="16" t="s">
        <v>20</v>
      </c>
      <c r="CZ8" s="16" t="s">
        <v>21</v>
      </c>
      <c r="DB8" s="16" t="s">
        <v>16</v>
      </c>
      <c r="DC8" s="16" t="s">
        <v>17</v>
      </c>
      <c r="DD8" s="16" t="s">
        <v>18</v>
      </c>
      <c r="DE8" s="16" t="s">
        <v>19</v>
      </c>
      <c r="DF8" s="16" t="s">
        <v>20</v>
      </c>
      <c r="DG8" s="16" t="s">
        <v>21</v>
      </c>
      <c r="DI8" s="16" t="s">
        <v>16</v>
      </c>
      <c r="DJ8" s="16" t="s">
        <v>17</v>
      </c>
      <c r="DK8" s="16" t="s">
        <v>18</v>
      </c>
      <c r="DL8" s="16" t="s">
        <v>19</v>
      </c>
      <c r="DM8" s="16" t="s">
        <v>20</v>
      </c>
      <c r="DN8" s="16" t="s">
        <v>21</v>
      </c>
      <c r="DP8" s="16" t="s">
        <v>16</v>
      </c>
      <c r="DQ8" s="16" t="s">
        <v>17</v>
      </c>
      <c r="DR8" s="16" t="s">
        <v>18</v>
      </c>
      <c r="DS8" s="16" t="s">
        <v>19</v>
      </c>
      <c r="DT8" s="16" t="s">
        <v>20</v>
      </c>
      <c r="DU8" s="16" t="s">
        <v>21</v>
      </c>
      <c r="DW8" s="16" t="s">
        <v>16</v>
      </c>
      <c r="DX8" s="16" t="s">
        <v>17</v>
      </c>
      <c r="DY8" s="16" t="s">
        <v>18</v>
      </c>
      <c r="DZ8" s="16" t="s">
        <v>19</v>
      </c>
      <c r="EA8" s="16" t="s">
        <v>20</v>
      </c>
      <c r="EB8" s="16" t="s">
        <v>21</v>
      </c>
      <c r="ED8" s="16" t="s">
        <v>16</v>
      </c>
      <c r="EE8" s="16" t="s">
        <v>17</v>
      </c>
      <c r="EF8" s="16" t="s">
        <v>18</v>
      </c>
      <c r="EG8" s="16" t="s">
        <v>19</v>
      </c>
      <c r="EH8" s="16" t="s">
        <v>20</v>
      </c>
      <c r="EI8" s="16" t="s">
        <v>21</v>
      </c>
      <c r="EK8" s="16" t="s">
        <v>16</v>
      </c>
      <c r="EL8" s="16" t="s">
        <v>17</v>
      </c>
      <c r="EM8" s="16" t="s">
        <v>18</v>
      </c>
      <c r="EN8" s="16" t="s">
        <v>19</v>
      </c>
      <c r="EO8" s="16" t="s">
        <v>20</v>
      </c>
      <c r="EP8" s="16" t="s">
        <v>21</v>
      </c>
      <c r="ER8" s="16" t="s">
        <v>16</v>
      </c>
      <c r="ES8" s="16" t="s">
        <v>17</v>
      </c>
      <c r="ET8" s="16" t="s">
        <v>18</v>
      </c>
      <c r="EU8" s="16" t="s">
        <v>19</v>
      </c>
      <c r="EV8" s="16" t="s">
        <v>20</v>
      </c>
      <c r="EW8" s="16" t="s">
        <v>21</v>
      </c>
      <c r="EY8" s="16" t="s">
        <v>16</v>
      </c>
      <c r="EZ8" s="16" t="s">
        <v>17</v>
      </c>
      <c r="FA8" s="16" t="s">
        <v>18</v>
      </c>
      <c r="FB8" s="16" t="s">
        <v>19</v>
      </c>
      <c r="FC8" s="16" t="s">
        <v>20</v>
      </c>
      <c r="FD8" s="16" t="s">
        <v>21</v>
      </c>
    </row>
    <row r="9" spans="1:160" ht="29.1" customHeight="1" x14ac:dyDescent="0.25">
      <c r="A9" s="16" t="s">
        <v>227</v>
      </c>
      <c r="B9" s="16" t="s">
        <v>228</v>
      </c>
      <c r="C9" s="16" t="s">
        <v>229</v>
      </c>
      <c r="D9" s="16" t="s">
        <v>230</v>
      </c>
      <c r="E9" s="16"/>
      <c r="F9" s="16"/>
      <c r="H9" s="16" t="s">
        <v>227</v>
      </c>
      <c r="I9" s="16" t="s">
        <v>228</v>
      </c>
      <c r="J9" s="16" t="s">
        <v>229</v>
      </c>
      <c r="K9" s="16" t="s">
        <v>230</v>
      </c>
      <c r="L9" s="16"/>
      <c r="M9" s="16"/>
      <c r="O9" s="16" t="s">
        <v>227</v>
      </c>
      <c r="P9" s="16" t="s">
        <v>228</v>
      </c>
      <c r="Q9" s="16" t="s">
        <v>229</v>
      </c>
      <c r="R9" s="16" t="s">
        <v>230</v>
      </c>
      <c r="S9" s="16"/>
      <c r="T9" s="16"/>
      <c r="V9" s="16" t="s">
        <v>227</v>
      </c>
      <c r="W9" s="16" t="s">
        <v>228</v>
      </c>
      <c r="X9" s="16" t="s">
        <v>229</v>
      </c>
      <c r="Y9" s="16" t="s">
        <v>230</v>
      </c>
      <c r="Z9" s="16"/>
      <c r="AA9" s="16"/>
      <c r="AC9" s="16" t="s">
        <v>227</v>
      </c>
      <c r="AD9" s="16" t="s">
        <v>228</v>
      </c>
      <c r="AE9" s="16" t="s">
        <v>229</v>
      </c>
      <c r="AF9" s="16" t="s">
        <v>230</v>
      </c>
      <c r="AG9" s="16"/>
      <c r="AH9" s="16"/>
      <c r="AJ9" s="16" t="s">
        <v>227</v>
      </c>
      <c r="AK9" s="16" t="s">
        <v>228</v>
      </c>
      <c r="AL9" s="16" t="s">
        <v>229</v>
      </c>
      <c r="AM9" s="16" t="s">
        <v>230</v>
      </c>
      <c r="AN9" s="16"/>
      <c r="AO9" s="16"/>
      <c r="AQ9" s="16" t="s">
        <v>227</v>
      </c>
      <c r="AR9" s="16" t="s">
        <v>228</v>
      </c>
      <c r="AS9" s="16" t="s">
        <v>229</v>
      </c>
      <c r="AT9" s="16" t="s">
        <v>230</v>
      </c>
      <c r="AU9" s="16"/>
      <c r="AV9" s="16"/>
      <c r="AX9" s="16" t="s">
        <v>227</v>
      </c>
      <c r="AY9" s="16" t="s">
        <v>228</v>
      </c>
      <c r="AZ9" s="16" t="s">
        <v>229</v>
      </c>
      <c r="BA9" s="16" t="s">
        <v>230</v>
      </c>
      <c r="BB9" s="16"/>
      <c r="BC9" s="16"/>
      <c r="BE9" s="16" t="s">
        <v>227</v>
      </c>
      <c r="BF9" s="16" t="s">
        <v>228</v>
      </c>
      <c r="BG9" s="16" t="s">
        <v>229</v>
      </c>
      <c r="BH9" s="16" t="s">
        <v>230</v>
      </c>
      <c r="BI9" s="16"/>
      <c r="BJ9" s="16"/>
      <c r="BL9" s="16" t="s">
        <v>227</v>
      </c>
      <c r="BM9" s="16" t="s">
        <v>228</v>
      </c>
      <c r="BN9" s="16" t="s">
        <v>229</v>
      </c>
      <c r="BO9" s="16" t="s">
        <v>230</v>
      </c>
      <c r="BP9" s="16"/>
      <c r="BQ9" s="16"/>
      <c r="BS9" s="16" t="s">
        <v>227</v>
      </c>
      <c r="BT9" s="16" t="s">
        <v>228</v>
      </c>
      <c r="BU9" s="16" t="s">
        <v>229</v>
      </c>
      <c r="BV9" s="16" t="s">
        <v>230</v>
      </c>
      <c r="BW9" s="16"/>
      <c r="BX9" s="16"/>
      <c r="BZ9" s="16" t="s">
        <v>227</v>
      </c>
      <c r="CA9" s="16" t="s">
        <v>228</v>
      </c>
      <c r="CB9" s="16" t="s">
        <v>229</v>
      </c>
      <c r="CC9" s="16" t="s">
        <v>230</v>
      </c>
      <c r="CD9" s="16"/>
      <c r="CE9" s="16"/>
      <c r="CG9" s="16" t="s">
        <v>227</v>
      </c>
      <c r="CH9" s="16" t="s">
        <v>228</v>
      </c>
      <c r="CI9" s="16" t="s">
        <v>229</v>
      </c>
      <c r="CJ9" s="16" t="s">
        <v>230</v>
      </c>
      <c r="CK9" s="16"/>
      <c r="CL9" s="16"/>
      <c r="CN9" s="16" t="s">
        <v>227</v>
      </c>
      <c r="CO9" s="16" t="s">
        <v>228</v>
      </c>
      <c r="CP9" s="16" t="s">
        <v>229</v>
      </c>
      <c r="CQ9" s="16" t="s">
        <v>230</v>
      </c>
      <c r="CR9" s="16"/>
      <c r="CS9" s="16"/>
      <c r="CU9" s="16" t="s">
        <v>227</v>
      </c>
      <c r="CV9" s="16" t="s">
        <v>228</v>
      </c>
      <c r="CW9" s="16" t="s">
        <v>229</v>
      </c>
      <c r="CX9" s="16" t="s">
        <v>230</v>
      </c>
      <c r="CY9" s="16"/>
      <c r="CZ9" s="16"/>
      <c r="DB9" s="16" t="s">
        <v>227</v>
      </c>
      <c r="DC9" s="16" t="s">
        <v>228</v>
      </c>
      <c r="DD9" s="16" t="s">
        <v>229</v>
      </c>
      <c r="DE9" s="16" t="s">
        <v>230</v>
      </c>
      <c r="DF9" s="16"/>
      <c r="DG9" s="16"/>
      <c r="DI9" s="16" t="s">
        <v>227</v>
      </c>
      <c r="DJ9" s="16" t="s">
        <v>228</v>
      </c>
      <c r="DK9" s="16" t="s">
        <v>229</v>
      </c>
      <c r="DL9" s="16" t="s">
        <v>230</v>
      </c>
      <c r="DM9" s="16"/>
      <c r="DN9" s="16"/>
      <c r="DP9" s="16" t="s">
        <v>227</v>
      </c>
      <c r="DQ9" s="16" t="s">
        <v>228</v>
      </c>
      <c r="DR9" s="16" t="s">
        <v>229</v>
      </c>
      <c r="DS9" s="16" t="s">
        <v>230</v>
      </c>
      <c r="DT9" s="16"/>
      <c r="DU9" s="16"/>
      <c r="DW9" s="16" t="s">
        <v>227</v>
      </c>
      <c r="DX9" s="16" t="s">
        <v>228</v>
      </c>
      <c r="DY9" s="16" t="s">
        <v>229</v>
      </c>
      <c r="DZ9" s="16" t="s">
        <v>230</v>
      </c>
      <c r="EA9" s="16"/>
      <c r="EB9" s="16"/>
      <c r="ED9" s="16" t="s">
        <v>227</v>
      </c>
      <c r="EE9" s="16" t="s">
        <v>228</v>
      </c>
      <c r="EF9" s="16" t="s">
        <v>229</v>
      </c>
      <c r="EG9" s="16" t="s">
        <v>230</v>
      </c>
      <c r="EH9" s="16"/>
      <c r="EI9" s="16"/>
      <c r="EK9" s="16" t="s">
        <v>227</v>
      </c>
      <c r="EL9" s="16" t="s">
        <v>228</v>
      </c>
      <c r="EM9" s="16" t="s">
        <v>229</v>
      </c>
      <c r="EN9" s="16" t="s">
        <v>230</v>
      </c>
      <c r="EO9" s="16"/>
      <c r="EP9" s="16"/>
      <c r="ER9" s="16" t="s">
        <v>227</v>
      </c>
      <c r="ES9" s="16" t="s">
        <v>228</v>
      </c>
      <c r="ET9" s="16" t="s">
        <v>229</v>
      </c>
      <c r="EU9" s="16" t="s">
        <v>230</v>
      </c>
      <c r="EV9" s="16"/>
      <c r="EW9" s="16"/>
      <c r="EY9" s="16" t="s">
        <v>227</v>
      </c>
      <c r="EZ9" s="16" t="s">
        <v>228</v>
      </c>
      <c r="FA9" s="16" t="s">
        <v>229</v>
      </c>
      <c r="FB9" s="16" t="s">
        <v>230</v>
      </c>
      <c r="FC9" s="16"/>
      <c r="FD9" s="16"/>
    </row>
    <row r="10" spans="1:160" ht="29.1" customHeight="1" x14ac:dyDescent="0.25">
      <c r="A10" s="16" t="s">
        <v>231</v>
      </c>
      <c r="B10" s="16" t="s">
        <v>232</v>
      </c>
      <c r="C10" s="16"/>
      <c r="D10" s="16" t="s">
        <v>233</v>
      </c>
      <c r="E10" s="16"/>
      <c r="F10" s="16"/>
      <c r="H10" s="16" t="s">
        <v>231</v>
      </c>
      <c r="I10" s="16" t="s">
        <v>234</v>
      </c>
      <c r="J10" s="16"/>
      <c r="K10" s="16" t="s">
        <v>233</v>
      </c>
      <c r="L10" s="16"/>
      <c r="M10" s="16"/>
      <c r="O10" s="16" t="s">
        <v>231</v>
      </c>
      <c r="P10" s="16" t="s">
        <v>234</v>
      </c>
      <c r="Q10" s="16"/>
      <c r="R10" s="16" t="s">
        <v>233</v>
      </c>
      <c r="S10" s="16"/>
      <c r="T10" s="16"/>
      <c r="V10" s="16" t="s">
        <v>231</v>
      </c>
      <c r="W10" s="16" t="s">
        <v>234</v>
      </c>
      <c r="X10" s="16"/>
      <c r="Y10" s="16" t="s">
        <v>233</v>
      </c>
      <c r="Z10" s="16"/>
      <c r="AA10" s="16"/>
      <c r="AC10" s="16" t="s">
        <v>231</v>
      </c>
      <c r="AD10" s="16" t="s">
        <v>235</v>
      </c>
      <c r="AE10" s="16"/>
      <c r="AF10" s="16" t="s">
        <v>233</v>
      </c>
      <c r="AG10" s="16"/>
      <c r="AH10" s="16"/>
      <c r="AJ10" s="16" t="s">
        <v>231</v>
      </c>
      <c r="AK10" s="16" t="s">
        <v>235</v>
      </c>
      <c r="AL10" s="16"/>
      <c r="AM10" s="16" t="s">
        <v>233</v>
      </c>
      <c r="AN10" s="16"/>
      <c r="AO10" s="16"/>
      <c r="AQ10" s="16" t="s">
        <v>231</v>
      </c>
      <c r="AR10" s="16" t="s">
        <v>236</v>
      </c>
      <c r="AS10" s="16"/>
      <c r="AT10" s="16" t="s">
        <v>233</v>
      </c>
      <c r="AU10" s="16"/>
      <c r="AV10" s="16"/>
      <c r="AX10" s="16" t="s">
        <v>231</v>
      </c>
      <c r="AY10" s="16" t="s">
        <v>236</v>
      </c>
      <c r="AZ10" s="16"/>
      <c r="BA10" s="16" t="s">
        <v>233</v>
      </c>
      <c r="BB10" s="16"/>
      <c r="BC10" s="16"/>
      <c r="BE10" s="16" t="s">
        <v>231</v>
      </c>
      <c r="BF10" s="16" t="s">
        <v>237</v>
      </c>
      <c r="BG10" s="16"/>
      <c r="BH10" s="16" t="s">
        <v>233</v>
      </c>
      <c r="BI10" s="16"/>
      <c r="BJ10" s="16"/>
      <c r="BL10" s="16" t="s">
        <v>231</v>
      </c>
      <c r="BM10" s="16" t="s">
        <v>237</v>
      </c>
      <c r="BN10" s="16"/>
      <c r="BO10" s="16" t="s">
        <v>233</v>
      </c>
      <c r="BP10" s="16"/>
      <c r="BQ10" s="16"/>
      <c r="BS10" s="16" t="s">
        <v>231</v>
      </c>
      <c r="BT10" s="16" t="s">
        <v>238</v>
      </c>
      <c r="BU10" s="16"/>
      <c r="BV10" s="16" t="s">
        <v>233</v>
      </c>
      <c r="BW10" s="16"/>
      <c r="BX10" s="16"/>
      <c r="BZ10" s="16" t="s">
        <v>231</v>
      </c>
      <c r="CA10" s="16" t="s">
        <v>238</v>
      </c>
      <c r="CB10" s="16"/>
      <c r="CC10" s="16" t="s">
        <v>233</v>
      </c>
      <c r="CD10" s="16"/>
      <c r="CE10" s="16"/>
      <c r="CG10" s="16" t="s">
        <v>231</v>
      </c>
      <c r="CH10" s="16" t="s">
        <v>239</v>
      </c>
      <c r="CI10" s="16"/>
      <c r="CJ10" s="16" t="s">
        <v>233</v>
      </c>
      <c r="CK10" s="16"/>
      <c r="CL10" s="16"/>
      <c r="CN10" s="16" t="s">
        <v>231</v>
      </c>
      <c r="CO10" s="16" t="s">
        <v>240</v>
      </c>
      <c r="CP10" s="16"/>
      <c r="CQ10" s="16" t="s">
        <v>233</v>
      </c>
      <c r="CR10" s="16"/>
      <c r="CS10" s="16"/>
      <c r="CU10" s="16" t="s">
        <v>231</v>
      </c>
      <c r="CV10" s="16" t="s">
        <v>240</v>
      </c>
      <c r="CW10" s="16"/>
      <c r="CX10" s="16" t="s">
        <v>233</v>
      </c>
      <c r="CY10" s="16"/>
      <c r="CZ10" s="16"/>
      <c r="DB10" s="16" t="s">
        <v>231</v>
      </c>
      <c r="DC10" s="16" t="s">
        <v>240</v>
      </c>
      <c r="DD10" s="16"/>
      <c r="DE10" s="16" t="s">
        <v>233</v>
      </c>
      <c r="DF10" s="16"/>
      <c r="DG10" s="16"/>
      <c r="DI10" s="16" t="s">
        <v>231</v>
      </c>
      <c r="DJ10" s="16" t="s">
        <v>241</v>
      </c>
      <c r="DK10" s="16"/>
      <c r="DL10" s="16" t="s">
        <v>233</v>
      </c>
      <c r="DM10" s="16"/>
      <c r="DN10" s="16"/>
      <c r="DP10" s="16" t="s">
        <v>231</v>
      </c>
      <c r="DQ10" s="16" t="s">
        <v>241</v>
      </c>
      <c r="DR10" s="16"/>
      <c r="DS10" s="16" t="s">
        <v>233</v>
      </c>
      <c r="DT10" s="16"/>
      <c r="DU10" s="16"/>
      <c r="DW10" s="16" t="s">
        <v>231</v>
      </c>
      <c r="DX10" s="16" t="s">
        <v>242</v>
      </c>
      <c r="DY10" s="16"/>
      <c r="DZ10" s="16" t="s">
        <v>233</v>
      </c>
      <c r="EA10" s="16"/>
      <c r="EB10" s="16"/>
      <c r="ED10" s="16" t="s">
        <v>231</v>
      </c>
      <c r="EE10" s="16" t="s">
        <v>243</v>
      </c>
      <c r="EF10" s="16"/>
      <c r="EG10" s="16" t="s">
        <v>233</v>
      </c>
      <c r="EH10" s="16"/>
      <c r="EI10" s="16"/>
      <c r="EK10" s="16" t="s">
        <v>231</v>
      </c>
      <c r="EL10" s="16" t="s">
        <v>243</v>
      </c>
      <c r="EM10" s="16"/>
      <c r="EN10" s="16" t="s">
        <v>233</v>
      </c>
      <c r="EO10" s="16"/>
      <c r="EP10" s="16"/>
      <c r="ER10" s="16" t="s">
        <v>231</v>
      </c>
      <c r="ES10" s="16" t="s">
        <v>244</v>
      </c>
      <c r="ET10" s="16"/>
      <c r="EU10" s="16" t="s">
        <v>233</v>
      </c>
      <c r="EV10" s="16"/>
      <c r="EW10" s="16"/>
      <c r="EY10" s="16" t="s">
        <v>231</v>
      </c>
      <c r="EZ10" s="16" t="s">
        <v>245</v>
      </c>
      <c r="FA10" s="16"/>
      <c r="FB10" s="16" t="s">
        <v>233</v>
      </c>
      <c r="FC10" s="16"/>
      <c r="FD10" s="16"/>
    </row>
    <row r="11" spans="1:160" ht="43.5" customHeight="1" x14ac:dyDescent="0.25">
      <c r="A11" s="16" t="s">
        <v>246</v>
      </c>
      <c r="B11" s="16" t="s">
        <v>247</v>
      </c>
      <c r="C11" s="16"/>
      <c r="D11" s="16" t="s">
        <v>248</v>
      </c>
      <c r="E11" s="16"/>
      <c r="F11" s="16"/>
      <c r="H11" s="16" t="s">
        <v>246</v>
      </c>
      <c r="I11" s="16" t="s">
        <v>247</v>
      </c>
      <c r="J11" s="16"/>
      <c r="K11" s="16" t="s">
        <v>248</v>
      </c>
      <c r="L11" s="16"/>
      <c r="M11" s="16"/>
      <c r="O11" s="16" t="s">
        <v>246</v>
      </c>
      <c r="P11" s="16" t="s">
        <v>247</v>
      </c>
      <c r="Q11" s="16"/>
      <c r="R11" s="16" t="s">
        <v>248</v>
      </c>
      <c r="S11" s="16"/>
      <c r="T11" s="16"/>
      <c r="V11" s="16" t="s">
        <v>246</v>
      </c>
      <c r="W11" s="16" t="s">
        <v>247</v>
      </c>
      <c r="X11" s="16"/>
      <c r="Y11" s="16" t="s">
        <v>248</v>
      </c>
      <c r="Z11" s="16"/>
      <c r="AA11" s="16"/>
      <c r="AC11" s="16" t="s">
        <v>246</v>
      </c>
      <c r="AD11" s="16" t="s">
        <v>247</v>
      </c>
      <c r="AE11" s="16"/>
      <c r="AF11" s="16" t="s">
        <v>248</v>
      </c>
      <c r="AG11" s="16"/>
      <c r="AH11" s="16"/>
      <c r="AJ11" s="16" t="s">
        <v>246</v>
      </c>
      <c r="AK11" s="16" t="s">
        <v>247</v>
      </c>
      <c r="AL11" s="16"/>
      <c r="AM11" s="16" t="s">
        <v>248</v>
      </c>
      <c r="AN11" s="16"/>
      <c r="AO11" s="16"/>
      <c r="AQ11" s="16" t="s">
        <v>246</v>
      </c>
      <c r="AR11" s="16" t="s">
        <v>247</v>
      </c>
      <c r="AS11" s="16"/>
      <c r="AT11" s="16" t="s">
        <v>248</v>
      </c>
      <c r="AU11" s="16"/>
      <c r="AV11" s="16"/>
      <c r="AX11" s="16" t="s">
        <v>246</v>
      </c>
      <c r="AY11" s="16" t="s">
        <v>247</v>
      </c>
      <c r="AZ11" s="16"/>
      <c r="BA11" s="16" t="s">
        <v>248</v>
      </c>
      <c r="BB11" s="16"/>
      <c r="BC11" s="16"/>
      <c r="BE11" s="16" t="s">
        <v>246</v>
      </c>
      <c r="BF11" s="16" t="s">
        <v>247</v>
      </c>
      <c r="BG11" s="16"/>
      <c r="BH11" s="16" t="s">
        <v>248</v>
      </c>
      <c r="BI11" s="16"/>
      <c r="BJ11" s="16"/>
      <c r="BL11" s="16" t="s">
        <v>246</v>
      </c>
      <c r="BM11" s="16" t="s">
        <v>247</v>
      </c>
      <c r="BN11" s="16"/>
      <c r="BO11" s="16" t="s">
        <v>248</v>
      </c>
      <c r="BP11" s="16"/>
      <c r="BQ11" s="16"/>
      <c r="BS11" s="16" t="s">
        <v>246</v>
      </c>
      <c r="BT11" s="16" t="s">
        <v>247</v>
      </c>
      <c r="BU11" s="16"/>
      <c r="BV11" s="16" t="s">
        <v>248</v>
      </c>
      <c r="BW11" s="16"/>
      <c r="BX11" s="16"/>
      <c r="BZ11" s="16" t="s">
        <v>246</v>
      </c>
      <c r="CA11" s="16" t="s">
        <v>247</v>
      </c>
      <c r="CB11" s="16"/>
      <c r="CC11" s="16" t="s">
        <v>248</v>
      </c>
      <c r="CD11" s="16"/>
      <c r="CE11" s="16"/>
      <c r="CG11" s="16" t="s">
        <v>246</v>
      </c>
      <c r="CH11" s="16" t="s">
        <v>247</v>
      </c>
      <c r="CI11" s="16"/>
      <c r="CJ11" s="16" t="s">
        <v>248</v>
      </c>
      <c r="CK11" s="16"/>
      <c r="CL11" s="16"/>
      <c r="CN11" s="16" t="s">
        <v>246</v>
      </c>
      <c r="CO11" s="16" t="s">
        <v>247</v>
      </c>
      <c r="CP11" s="16"/>
      <c r="CQ11" s="16" t="s">
        <v>248</v>
      </c>
      <c r="CR11" s="16"/>
      <c r="CS11" s="16"/>
      <c r="CU11" s="16" t="s">
        <v>246</v>
      </c>
      <c r="CV11" s="16" t="s">
        <v>247</v>
      </c>
      <c r="CW11" s="16"/>
      <c r="CX11" s="16" t="s">
        <v>248</v>
      </c>
      <c r="CY11" s="16"/>
      <c r="CZ11" s="16"/>
      <c r="DB11" s="16" t="s">
        <v>246</v>
      </c>
      <c r="DC11" s="16" t="s">
        <v>247</v>
      </c>
      <c r="DD11" s="16"/>
      <c r="DE11" s="16" t="s">
        <v>248</v>
      </c>
      <c r="DF11" s="16"/>
      <c r="DG11" s="16"/>
      <c r="DI11" s="16" t="s">
        <v>246</v>
      </c>
      <c r="DJ11" s="16" t="s">
        <v>247</v>
      </c>
      <c r="DK11" s="16"/>
      <c r="DL11" s="16" t="s">
        <v>248</v>
      </c>
      <c r="DM11" s="16"/>
      <c r="DN11" s="16"/>
      <c r="DP11" s="16" t="s">
        <v>246</v>
      </c>
      <c r="DQ11" s="16" t="s">
        <v>247</v>
      </c>
      <c r="DR11" s="16"/>
      <c r="DS11" s="16" t="s">
        <v>248</v>
      </c>
      <c r="DT11" s="16"/>
      <c r="DU11" s="16"/>
      <c r="DW11" s="16" t="s">
        <v>246</v>
      </c>
      <c r="DX11" s="16" t="s">
        <v>247</v>
      </c>
      <c r="DY11" s="16"/>
      <c r="DZ11" s="16" t="s">
        <v>248</v>
      </c>
      <c r="EA11" s="16"/>
      <c r="EB11" s="16"/>
      <c r="ED11" s="16" t="s">
        <v>246</v>
      </c>
      <c r="EE11" s="16" t="s">
        <v>247</v>
      </c>
      <c r="EF11" s="16"/>
      <c r="EG11" s="16" t="s">
        <v>249</v>
      </c>
      <c r="EH11" s="16"/>
      <c r="EI11" s="16"/>
      <c r="EK11" s="16" t="s">
        <v>246</v>
      </c>
      <c r="EL11" s="16" t="s">
        <v>247</v>
      </c>
      <c r="EM11" s="16"/>
      <c r="EN11" s="16" t="s">
        <v>248</v>
      </c>
      <c r="EO11" s="16"/>
      <c r="EP11" s="16"/>
      <c r="ER11" s="16" t="s">
        <v>246</v>
      </c>
      <c r="ES11" s="16" t="s">
        <v>247</v>
      </c>
      <c r="ET11" s="16"/>
      <c r="EU11" s="16" t="s">
        <v>248</v>
      </c>
      <c r="EV11" s="16"/>
      <c r="EW11" s="16"/>
      <c r="EY11" s="16" t="s">
        <v>246</v>
      </c>
      <c r="EZ11" s="16" t="s">
        <v>247</v>
      </c>
      <c r="FA11" s="16"/>
      <c r="FB11" s="16" t="s">
        <v>248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6:EP6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K1:EP1"/>
    <mergeCell ref="W7:AA7"/>
    <mergeCell ref="P7:T7"/>
    <mergeCell ref="CA7:CE7"/>
    <mergeCell ref="EE7:EI7"/>
    <mergeCell ref="CO7:CS7"/>
    <mergeCell ref="DX7:EB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1" t="s">
        <v>250</v>
      </c>
      <c r="B1" s="19"/>
      <c r="C1" s="19"/>
      <c r="D1" s="19"/>
      <c r="E1" s="19"/>
      <c r="F1" s="19"/>
      <c r="H1" s="31" t="s">
        <v>251</v>
      </c>
      <c r="I1" s="19"/>
      <c r="J1" s="19"/>
      <c r="K1" s="19"/>
      <c r="L1" s="19"/>
      <c r="M1" s="19"/>
      <c r="O1" s="31" t="s">
        <v>252</v>
      </c>
      <c r="P1" s="19"/>
      <c r="Q1" s="19"/>
      <c r="R1" s="19"/>
      <c r="S1" s="19"/>
      <c r="T1" s="19"/>
      <c r="V1" s="31" t="s">
        <v>311</v>
      </c>
      <c r="W1" s="19"/>
      <c r="X1" s="19"/>
      <c r="Y1" s="19"/>
      <c r="Z1" s="19"/>
      <c r="AA1" s="19"/>
      <c r="AC1" s="31" t="s">
        <v>253</v>
      </c>
      <c r="AD1" s="19"/>
      <c r="AE1" s="19"/>
      <c r="AF1" s="19"/>
      <c r="AG1" s="19"/>
      <c r="AH1" s="19"/>
      <c r="AJ1" s="31" t="s">
        <v>254</v>
      </c>
      <c r="AK1" s="19"/>
      <c r="AL1" s="19"/>
      <c r="AM1" s="19"/>
      <c r="AN1" s="19"/>
      <c r="AO1" s="19"/>
      <c r="AQ1" s="31" t="s">
        <v>255</v>
      </c>
      <c r="AR1" s="19"/>
      <c r="AS1" s="19"/>
      <c r="AT1" s="19"/>
      <c r="AU1" s="19"/>
      <c r="AV1" s="19"/>
      <c r="AX1" s="31" t="s">
        <v>256</v>
      </c>
      <c r="AY1" s="19"/>
      <c r="AZ1" s="19"/>
      <c r="BA1" s="19"/>
      <c r="BB1" s="19"/>
      <c r="BC1" s="19"/>
      <c r="BE1" s="31" t="s">
        <v>257</v>
      </c>
      <c r="BF1" s="19"/>
      <c r="BG1" s="19"/>
      <c r="BH1" s="19"/>
      <c r="BI1" s="19"/>
      <c r="BJ1" s="19"/>
      <c r="BL1" s="31" t="s">
        <v>258</v>
      </c>
      <c r="BM1" s="19"/>
      <c r="BN1" s="19"/>
      <c r="BO1" s="19"/>
      <c r="BP1" s="19"/>
      <c r="BQ1" s="19"/>
      <c r="BS1" s="31" t="s">
        <v>312</v>
      </c>
      <c r="BT1" s="19"/>
      <c r="BU1" s="19"/>
      <c r="BV1" s="19"/>
      <c r="BW1" s="19"/>
      <c r="BX1" s="19"/>
      <c r="BZ1" s="31" t="s">
        <v>259</v>
      </c>
      <c r="CA1" s="19"/>
      <c r="CB1" s="19"/>
      <c r="CC1" s="19"/>
      <c r="CD1" s="19"/>
      <c r="CE1" s="19"/>
      <c r="CG1" s="31" t="s">
        <v>313</v>
      </c>
      <c r="CH1" s="19"/>
      <c r="CI1" s="19"/>
      <c r="CJ1" s="19"/>
      <c r="CK1" s="19"/>
      <c r="CL1" s="19"/>
      <c r="CN1" s="31" t="s">
        <v>260</v>
      </c>
      <c r="CO1" s="19"/>
      <c r="CP1" s="19"/>
      <c r="CQ1" s="19"/>
      <c r="CR1" s="19"/>
      <c r="CS1" s="19"/>
      <c r="CU1" s="31" t="s">
        <v>261</v>
      </c>
      <c r="CV1" s="19"/>
      <c r="CW1" s="19"/>
      <c r="CX1" s="19"/>
      <c r="CY1" s="19"/>
      <c r="CZ1" s="19"/>
      <c r="DB1" s="31" t="s">
        <v>262</v>
      </c>
      <c r="DC1" s="19"/>
      <c r="DD1" s="19"/>
      <c r="DE1" s="19"/>
      <c r="DF1" s="19"/>
      <c r="DG1" s="19"/>
      <c r="DI1" s="31" t="s">
        <v>263</v>
      </c>
      <c r="DJ1" s="19"/>
      <c r="DK1" s="19"/>
      <c r="DL1" s="19"/>
      <c r="DM1" s="19"/>
      <c r="DN1" s="19"/>
      <c r="DP1" s="31" t="s">
        <v>314</v>
      </c>
      <c r="DQ1" s="19"/>
      <c r="DR1" s="19"/>
      <c r="DS1" s="19"/>
      <c r="DT1" s="19"/>
      <c r="DU1" s="19"/>
      <c r="DW1" s="31" t="s">
        <v>264</v>
      </c>
      <c r="DX1" s="19"/>
      <c r="DY1" s="19"/>
      <c r="DZ1" s="19"/>
      <c r="EA1" s="19"/>
      <c r="EB1" s="19"/>
      <c r="ED1" s="31" t="s">
        <v>265</v>
      </c>
      <c r="EE1" s="19"/>
      <c r="EF1" s="19"/>
      <c r="EG1" s="19"/>
      <c r="EH1" s="19"/>
      <c r="EI1" s="19"/>
      <c r="EK1" s="31" t="s">
        <v>266</v>
      </c>
      <c r="EL1" s="19"/>
      <c r="EM1" s="19"/>
      <c r="EN1" s="19"/>
      <c r="EO1" s="19"/>
      <c r="EP1" s="19"/>
      <c r="ER1" s="31" t="s">
        <v>267</v>
      </c>
      <c r="ES1" s="19"/>
      <c r="ET1" s="19"/>
      <c r="EU1" s="19"/>
      <c r="EV1" s="19"/>
      <c r="EW1" s="19"/>
      <c r="EY1" s="31" t="s">
        <v>268</v>
      </c>
      <c r="EZ1" s="19"/>
      <c r="FA1" s="19"/>
      <c r="FB1" s="19"/>
      <c r="FC1" s="19"/>
      <c r="FD1" s="19"/>
    </row>
    <row r="2" spans="1:160" x14ac:dyDescent="0.25">
      <c r="A2" s="16" t="s">
        <v>10</v>
      </c>
      <c r="B2" s="16">
        <f>IFERROR(_xlfn.XLOOKUP(A1, TestMaster[Test Name], TestMaster[Test ID], "ID not found"), "")</f>
        <v>42</v>
      </c>
      <c r="H2" s="16" t="s">
        <v>10</v>
      </c>
      <c r="I2" s="16">
        <f>IFERROR(_xlfn.SINGLE(_xlfn.XLOOKUP(H1, TestMaster[Test Name], TestMaster[Test ID], "ID not found")), "")</f>
        <v>51</v>
      </c>
      <c r="O2" s="16" t="s">
        <v>10</v>
      </c>
      <c r="P2" s="16">
        <f>IFERROR(_xlfn.SINGLE(_xlfn.XLOOKUP(O1, TestMaster[Test Name], TestMaster[Test ID], "ID not found")), "")</f>
        <v>50</v>
      </c>
      <c r="V2" s="16" t="s">
        <v>10</v>
      </c>
      <c r="W2" s="16">
        <f>IFERROR(_xlfn.SINGLE(_xlfn.XLOOKUP(V1, TestMaster[Test Name], TestMaster[Test ID], "ID not found")), "")</f>
        <v>53</v>
      </c>
      <c r="AC2" s="16" t="s">
        <v>10</v>
      </c>
      <c r="AD2" s="16">
        <f>IFERROR(_xlfn.SINGLE(_xlfn.XLOOKUP(AC1, TestMaster[Test Name], TestMaster[Test ID], "ID not found")), "")</f>
        <v>37</v>
      </c>
      <c r="AJ2" s="16" t="s">
        <v>10</v>
      </c>
      <c r="AK2" s="16">
        <f>IFERROR(_xlfn.SINGLE(_xlfn.XLOOKUP(AJ1, TestMaster[Test Name], TestMaster[Test ID], "ID not found")), "")</f>
        <v>40</v>
      </c>
      <c r="AQ2" s="16" t="s">
        <v>10</v>
      </c>
      <c r="AR2" s="16">
        <f>IFERROR(_xlfn.SINGLE(_xlfn.XLOOKUP(AQ1, TestMaster[Test Name], TestMaster[Test ID], "ID not found")), "")</f>
        <v>38</v>
      </c>
      <c r="AX2" s="16" t="s">
        <v>10</v>
      </c>
      <c r="AY2" s="16">
        <f>IFERROR(_xlfn.SINGLE(_xlfn.XLOOKUP(AX1, TestMaster[Test Name], TestMaster[Test ID], "ID not found")), "")</f>
        <v>41</v>
      </c>
      <c r="BE2" s="16" t="s">
        <v>10</v>
      </c>
      <c r="BF2" s="16">
        <f>IFERROR(_xlfn.SINGLE(_xlfn.XLOOKUP(BE1, TestMaster[Test Name], TestMaster[Test ID], "ID not found")), "")</f>
        <v>39</v>
      </c>
      <c r="BL2" s="16" t="s">
        <v>10</v>
      </c>
      <c r="BM2" s="16">
        <f>IFERROR(_xlfn.SINGLE(_xlfn.XLOOKUP(BL1, TestMaster[Test Name], TestMaster[Test ID], "ID not found")), "")</f>
        <v>45</v>
      </c>
      <c r="BS2" s="16" t="s">
        <v>10</v>
      </c>
      <c r="BT2" s="16">
        <f>IFERROR(_xlfn.SINGLE(_xlfn.XLOOKUP(BS1, TestMaster[Test Name], TestMaster[Test ID], "ID not found")), "")</f>
        <v>47</v>
      </c>
      <c r="BZ2" s="16" t="s">
        <v>10</v>
      </c>
      <c r="CA2" s="16">
        <f>IFERROR(_xlfn.SINGLE(_xlfn.XLOOKUP(BZ1, TestMaster[Test Name], TestMaster[Test ID], "ID not found")), "")</f>
        <v>44</v>
      </c>
      <c r="CG2" s="16" t="s">
        <v>10</v>
      </c>
      <c r="CH2" s="16">
        <f>IFERROR(_xlfn.SINGLE(_xlfn.XLOOKUP(CG1, TestMaster[Test Name], TestMaster[Test ID], "ID not found")), "")</f>
        <v>46</v>
      </c>
      <c r="CN2" s="16" t="s">
        <v>10</v>
      </c>
      <c r="CO2" s="16">
        <f>IFERROR(_xlfn.SINGLE(_xlfn.XLOOKUP(CN1, TestMaster[Test Name], TestMaster[Test ID], "ID not found")), "")</f>
        <v>48</v>
      </c>
      <c r="CU2" s="16" t="s">
        <v>10</v>
      </c>
      <c r="CV2" s="16">
        <f>IFERROR(_xlfn.SINGLE(_xlfn.XLOOKUP(CU1, TestMaster[Test Name], TestMaster[Test ID], "ID not found")), "")</f>
        <v>49</v>
      </c>
      <c r="DB2" s="16" t="s">
        <v>10</v>
      </c>
      <c r="DC2" s="16">
        <f>IFERROR(_xlfn.SINGLE(_xlfn.XLOOKUP(DB1, TestMaster[Test Name], TestMaster[Test ID], "ID not found")), "")</f>
        <v>58</v>
      </c>
      <c r="DI2" s="16" t="s">
        <v>10</v>
      </c>
      <c r="DJ2" s="16">
        <f>IFERROR(_xlfn.SINGLE(_xlfn.XLOOKUP(DI1, TestMaster[Test Name], TestMaster[Test ID], "ID not found")), "")</f>
        <v>54</v>
      </c>
      <c r="DP2" s="16" t="s">
        <v>10</v>
      </c>
      <c r="DQ2" s="16">
        <f>IFERROR(_xlfn.SINGLE(_xlfn.XLOOKUP(DP1, TestMaster[Test Name], TestMaster[Test ID], "ID not found")), "")</f>
        <v>57</v>
      </c>
      <c r="DW2" s="16" t="s">
        <v>10</v>
      </c>
      <c r="DX2" s="16">
        <f>IFERROR(_xlfn.SINGLE(_xlfn.XLOOKUP(DW1, TestMaster[Test Name], TestMaster[Test ID], "ID not found")), "")</f>
        <v>56</v>
      </c>
      <c r="ED2" s="16" t="s">
        <v>10</v>
      </c>
      <c r="EE2" s="16">
        <f>IFERROR(_xlfn.SINGLE(_xlfn.XLOOKUP(ED1, TestMaster[Test Name], TestMaster[Test ID], "ID not found")), "")</f>
        <v>55</v>
      </c>
      <c r="EK2" s="16" t="s">
        <v>10</v>
      </c>
      <c r="EL2" s="16">
        <f>IFERROR(_xlfn.SINGLE(_xlfn.XLOOKUP(EK1, TestMaster[Test Name], TestMaster[Test ID], "ID not found")), "")</f>
        <v>52</v>
      </c>
      <c r="ER2" s="16" t="s">
        <v>10</v>
      </c>
      <c r="ES2" s="16">
        <f>IFERROR(_xlfn.SINGLE(_xlfn.XLOOKUP(ER1, TestMaster[Test Name], TestMaster[Test ID], "ID not found")), "")</f>
        <v>59</v>
      </c>
      <c r="EY2" s="16" t="s">
        <v>10</v>
      </c>
      <c r="EZ2" s="16">
        <f>IFERROR(_xlfn.SINGLE(_xlfn.XLOOKUP(EY1, TestMaster[Test Name], TestMaster[Test ID], "ID not found")), "")</f>
        <v>43</v>
      </c>
    </row>
    <row r="3" spans="1:160" x14ac:dyDescent="0.25">
      <c r="A3" s="16" t="s">
        <v>11</v>
      </c>
      <c r="B3" s="16"/>
      <c r="H3" s="16" t="s">
        <v>11</v>
      </c>
      <c r="I3" s="16"/>
      <c r="O3" s="16" t="s">
        <v>11</v>
      </c>
      <c r="P3" s="16"/>
      <c r="V3" s="16" t="s">
        <v>11</v>
      </c>
      <c r="W3" s="16"/>
      <c r="AC3" s="16" t="s">
        <v>11</v>
      </c>
      <c r="AD3" s="16"/>
      <c r="AJ3" s="16" t="s">
        <v>11</v>
      </c>
      <c r="AK3" s="16"/>
      <c r="AQ3" s="16" t="s">
        <v>11</v>
      </c>
      <c r="AR3" s="16"/>
      <c r="AX3" s="16" t="s">
        <v>11</v>
      </c>
      <c r="AY3" s="16"/>
      <c r="BE3" s="16" t="s">
        <v>11</v>
      </c>
      <c r="BF3" s="16"/>
      <c r="BL3" s="16" t="s">
        <v>11</v>
      </c>
      <c r="BM3" s="16"/>
      <c r="BS3" s="16" t="s">
        <v>11</v>
      </c>
      <c r="BT3" s="16"/>
      <c r="BZ3" s="16" t="s">
        <v>11</v>
      </c>
      <c r="CA3" s="16"/>
      <c r="CG3" s="16" t="s">
        <v>11</v>
      </c>
      <c r="CH3" s="16"/>
      <c r="CN3" s="16" t="s">
        <v>11</v>
      </c>
      <c r="CO3" s="16"/>
      <c r="CU3" s="16" t="s">
        <v>11</v>
      </c>
      <c r="CV3" s="16"/>
      <c r="DB3" s="16" t="s">
        <v>11</v>
      </c>
      <c r="DC3" s="16"/>
      <c r="DI3" s="16" t="s">
        <v>11</v>
      </c>
      <c r="DJ3" s="16"/>
      <c r="DP3" s="16" t="s">
        <v>11</v>
      </c>
      <c r="DQ3" s="16"/>
      <c r="DW3" s="16" t="s">
        <v>11</v>
      </c>
      <c r="DX3" s="16"/>
      <c r="ED3" s="16" t="s">
        <v>11</v>
      </c>
      <c r="EE3" s="16"/>
      <c r="EK3" s="16" t="s">
        <v>11</v>
      </c>
      <c r="EL3" s="16"/>
      <c r="ER3" s="16" t="s">
        <v>11</v>
      </c>
      <c r="ES3" s="16"/>
      <c r="EY3" s="16" t="s">
        <v>11</v>
      </c>
      <c r="EZ3" s="16"/>
    </row>
    <row r="4" spans="1:160" x14ac:dyDescent="0.25">
      <c r="A4" s="16" t="s">
        <v>12</v>
      </c>
      <c r="B4" s="16">
        <f>IFERROR(_xlfn.SINGLE(_xlfn.XLOOKUP(A1, TestMaster[Test Name], TestMaster[Test Priority], "Priority not found")), "")</f>
        <v>0</v>
      </c>
      <c r="H4" s="16" t="s">
        <v>12</v>
      </c>
      <c r="I4" s="16">
        <f>IFERROR(_xlfn.SINGLE(_xlfn.XLOOKUP(H1, TestMaster[Test Name], TestMaster[Test Priority], "Priority not found")), "")</f>
        <v>0</v>
      </c>
      <c r="O4" s="16" t="s">
        <v>12</v>
      </c>
      <c r="P4" s="16">
        <f>IFERROR(_xlfn.SINGLE(_xlfn.XLOOKUP(O1, TestMaster[Test Name], TestMaster[Test Priority], "Priority not found")), "")</f>
        <v>0</v>
      </c>
      <c r="V4" s="16" t="s">
        <v>12</v>
      </c>
      <c r="W4" s="16">
        <f>IFERROR(_xlfn.SINGLE(_xlfn.XLOOKUP(V1, TestMaster[Test Name], TestMaster[Test Priority], "Priority not found")), "")</f>
        <v>0</v>
      </c>
      <c r="AC4" s="16" t="s">
        <v>12</v>
      </c>
      <c r="AD4" s="16">
        <f>IFERROR(_xlfn.SINGLE(_xlfn.XLOOKUP(AC1, TestMaster[Test Name], TestMaster[Test Priority], "Priority not found")), "")</f>
        <v>0</v>
      </c>
      <c r="AJ4" s="16" t="s">
        <v>12</v>
      </c>
      <c r="AK4" s="16">
        <f>IFERROR(_xlfn.SINGLE(_xlfn.XLOOKUP(AJ1, TestMaster[Test Name], TestMaster[Test Priority], "Priority not found")), "")</f>
        <v>0</v>
      </c>
      <c r="AQ4" s="16" t="s">
        <v>12</v>
      </c>
      <c r="AR4" s="16">
        <f>IFERROR(_xlfn.SINGLE(_xlfn.XLOOKUP(AQ1, TestMaster[Test Name], TestMaster[Test Priority], "Priority not found")), "")</f>
        <v>0</v>
      </c>
      <c r="AX4" s="16" t="s">
        <v>12</v>
      </c>
      <c r="AY4" s="16">
        <f>IFERROR(_xlfn.SINGLE(_xlfn.XLOOKUP(AX1, TestMaster[Test Name], TestMaster[Test Priority], "Priority not found")), "")</f>
        <v>0</v>
      </c>
      <c r="BE4" s="16" t="s">
        <v>12</v>
      </c>
      <c r="BF4" s="16">
        <f>IFERROR(_xlfn.SINGLE(_xlfn.XLOOKUP(BE1, TestMaster[Test Name], TestMaster[Test Priority], "Priority not found")), "")</f>
        <v>0</v>
      </c>
      <c r="BL4" s="16" t="s">
        <v>12</v>
      </c>
      <c r="BM4" s="16">
        <f>IFERROR(_xlfn.SINGLE(_xlfn.XLOOKUP(BL1, TestMaster[Test Name], TestMaster[Test Priority], "Priority not found")), "")</f>
        <v>0</v>
      </c>
      <c r="BS4" s="16" t="s">
        <v>12</v>
      </c>
      <c r="BT4" s="16">
        <f>IFERROR(_xlfn.SINGLE(_xlfn.XLOOKUP(BS1, TestMaster[Test Name], TestMaster[Test Priority], "Priority not found")), "")</f>
        <v>0</v>
      </c>
      <c r="BZ4" s="16" t="s">
        <v>12</v>
      </c>
      <c r="CA4" s="16">
        <f>IFERROR(_xlfn.SINGLE(_xlfn.XLOOKUP(BZ1, TestMaster[Test Name], TestMaster[Test Priority], "Priority not found")), "")</f>
        <v>0</v>
      </c>
      <c r="CG4" s="16" t="s">
        <v>12</v>
      </c>
      <c r="CH4" s="16">
        <f>IFERROR(_xlfn.SINGLE(_xlfn.XLOOKUP(CG1, TestMaster[Test Name], TestMaster[Test Priority], "Priority not found")), "")</f>
        <v>0</v>
      </c>
      <c r="CN4" s="16" t="s">
        <v>12</v>
      </c>
      <c r="CO4" s="16">
        <f>IFERROR(_xlfn.SINGLE(_xlfn.XLOOKUP(CN1, TestMaster[Test Name], TestMaster[Test Priority], "Priority not found")), "")</f>
        <v>0</v>
      </c>
      <c r="CU4" s="16" t="s">
        <v>12</v>
      </c>
      <c r="CV4" s="16">
        <f>IFERROR(_xlfn.SINGLE(_xlfn.XLOOKUP(CU1, TestMaster[Test Name], TestMaster[Test Priority], "Priority not found")), "")</f>
        <v>0</v>
      </c>
      <c r="DB4" s="16" t="s">
        <v>12</v>
      </c>
      <c r="DC4" s="16">
        <f>IFERROR(_xlfn.SINGLE(_xlfn.XLOOKUP(DB1, TestMaster[Test Name], TestMaster[Test Priority], "Priority not found")), "")</f>
        <v>0</v>
      </c>
      <c r="DI4" s="16" t="s">
        <v>12</v>
      </c>
      <c r="DJ4" s="16">
        <f>IFERROR(_xlfn.SINGLE(_xlfn.XLOOKUP(DI1, TestMaster[Test Name], TestMaster[Test Priority], "Priority not found")), "")</f>
        <v>0</v>
      </c>
      <c r="DP4" s="16" t="s">
        <v>12</v>
      </c>
      <c r="DQ4" s="16">
        <f>IFERROR(_xlfn.SINGLE(_xlfn.XLOOKUP(DP1, TestMaster[Test Name], TestMaster[Test Priority], "Priority not found")), "")</f>
        <v>0</v>
      </c>
      <c r="DW4" s="16" t="s">
        <v>12</v>
      </c>
      <c r="DX4" s="16">
        <f>IFERROR(_xlfn.SINGLE(_xlfn.XLOOKUP(DW1, TestMaster[Test Name], TestMaster[Test Priority], "Priority not found")), "")</f>
        <v>0</v>
      </c>
      <c r="ED4" s="16" t="s">
        <v>12</v>
      </c>
      <c r="EE4" s="16">
        <f>IFERROR(_xlfn.SINGLE(_xlfn.XLOOKUP(ED1, TestMaster[Test Name], TestMaster[Test Priority], "Priority not found")), "")</f>
        <v>0</v>
      </c>
      <c r="EK4" s="16" t="s">
        <v>12</v>
      </c>
      <c r="EL4" s="16">
        <f>IFERROR(_xlfn.SINGLE(_xlfn.XLOOKUP(EK1, TestMaster[Test Name], TestMaster[Test Priority], "Priority not found")), "")</f>
        <v>0</v>
      </c>
      <c r="ER4" s="16" t="s">
        <v>12</v>
      </c>
      <c r="ES4" s="16">
        <f>IFERROR(_xlfn.SINGLE(_xlfn.XLOOKUP(ER1, TestMaster[Test Name], TestMaster[Test Priority], "Priority not found")), "")</f>
        <v>0</v>
      </c>
      <c r="EY4" s="16" t="s">
        <v>12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13</v>
      </c>
      <c r="B5" s="16" t="str">
        <f>IFERROR(_xlfn.SINGLE(_xlfn.XLOOKUP(A1, TestMaster[Test Name], TestMaster[Test Status], "Status not found")), "")</f>
        <v>Pass</v>
      </c>
      <c r="H5" s="16" t="s">
        <v>13</v>
      </c>
      <c r="I5" s="16" t="str">
        <f>IFERROR(_xlfn.SINGLE(_xlfn.XLOOKUP(H1, TestMaster[Test Name], TestMaster[Test Status], "Status not found")), "")</f>
        <v>Pass</v>
      </c>
      <c r="O5" s="16" t="s">
        <v>13</v>
      </c>
      <c r="P5" s="16" t="str">
        <f>IFERROR(_xlfn.SINGLE(_xlfn.XLOOKUP(O1, TestMaster[Test Name], TestMaster[Test Status], "Status not found")), "")</f>
        <v>Pass</v>
      </c>
      <c r="V5" s="16" t="s">
        <v>13</v>
      </c>
      <c r="W5" s="16" t="str">
        <f>IFERROR(_xlfn.SINGLE(_xlfn.XLOOKUP(V1, TestMaster[Test Name], TestMaster[Test Status], "Status not found")), "")</f>
        <v>Pass</v>
      </c>
      <c r="AC5" s="16" t="s">
        <v>13</v>
      </c>
      <c r="AD5" s="16" t="str">
        <f>IFERROR(_xlfn.SINGLE(_xlfn.XLOOKUP(AC1, TestMaster[Test Name], TestMaster[Test Status], "Status not found")), "")</f>
        <v>Pass</v>
      </c>
      <c r="AJ5" s="16" t="s">
        <v>13</v>
      </c>
      <c r="AK5" s="16" t="str">
        <f>IFERROR(_xlfn.SINGLE(_xlfn.XLOOKUP(AJ1, TestMaster[Test Name], TestMaster[Test Status], "Status not found")), "")</f>
        <v>Pass</v>
      </c>
      <c r="AQ5" s="16" t="s">
        <v>13</v>
      </c>
      <c r="AR5" s="16" t="str">
        <f>IFERROR(_xlfn.SINGLE(_xlfn.XLOOKUP(AQ1, TestMaster[Test Name], TestMaster[Test Status], "Status not found")), "")</f>
        <v>Fail</v>
      </c>
      <c r="AX5" s="16" t="s">
        <v>13</v>
      </c>
      <c r="AY5" s="16" t="str">
        <f>IFERROR(_xlfn.SINGLE(_xlfn.XLOOKUP(AX1, TestMaster[Test Name], TestMaster[Test Status], "Status not found")), "")</f>
        <v>Pass</v>
      </c>
      <c r="BE5" s="16" t="s">
        <v>13</v>
      </c>
      <c r="BF5" s="16" t="str">
        <f>IFERROR(_xlfn.SINGLE(_xlfn.XLOOKUP(BE1, TestMaster[Test Name], TestMaster[Test Status], "Status not found")), "")</f>
        <v>Pass</v>
      </c>
      <c r="BL5" s="16" t="s">
        <v>13</v>
      </c>
      <c r="BM5" s="16" t="str">
        <f>IFERROR(_xlfn.SINGLE(_xlfn.XLOOKUP(BL1, TestMaster[Test Name], TestMaster[Test Status], "Status not found")), "")</f>
        <v>Pass</v>
      </c>
      <c r="BS5" s="16" t="s">
        <v>13</v>
      </c>
      <c r="BT5" s="16" t="str">
        <f>IFERROR(_xlfn.SINGLE(_xlfn.XLOOKUP(BS1, TestMaster[Test Name], TestMaster[Test Status], "Status not found")), "")</f>
        <v>Pass</v>
      </c>
      <c r="BZ5" s="16" t="s">
        <v>13</v>
      </c>
      <c r="CA5" s="16" t="str">
        <f>IFERROR(_xlfn.SINGLE(_xlfn.XLOOKUP(BZ1, TestMaster[Test Name], TestMaster[Test Status], "Status not found")), "")</f>
        <v>Pass</v>
      </c>
      <c r="CG5" s="16" t="s">
        <v>13</v>
      </c>
      <c r="CH5" s="16" t="str">
        <f>IFERROR(_xlfn.SINGLE(_xlfn.XLOOKUP(CG1, TestMaster[Test Name], TestMaster[Test Status], "Status not found")), "")</f>
        <v>Fail</v>
      </c>
      <c r="CN5" s="16" t="s">
        <v>13</v>
      </c>
      <c r="CO5" s="16" t="str">
        <f>IFERROR(_xlfn.SINGLE(_xlfn.XLOOKUP(CN1, TestMaster[Test Name], TestMaster[Test Status], "Status not found")), "")</f>
        <v>Pass</v>
      </c>
      <c r="CU5" s="16" t="s">
        <v>13</v>
      </c>
      <c r="CV5" s="16" t="str">
        <f>IFERROR(_xlfn.SINGLE(_xlfn.XLOOKUP(CU1, TestMaster[Test Name], TestMaster[Test Status], "Status not found")), "")</f>
        <v>Fail</v>
      </c>
      <c r="DB5" s="16" t="s">
        <v>13</v>
      </c>
      <c r="DC5" s="16" t="str">
        <f>IFERROR(_xlfn.SINGLE(_xlfn.XLOOKUP(DB1, TestMaster[Test Name], TestMaster[Test Status], "Status not found")), "")</f>
        <v>Pass</v>
      </c>
      <c r="DI5" s="16" t="s">
        <v>13</v>
      </c>
      <c r="DJ5" s="16" t="str">
        <f>IFERROR(_xlfn.SINGLE(_xlfn.XLOOKUP(DI1, TestMaster[Test Name], TestMaster[Test Status], "Status not found")), "")</f>
        <v>Pass</v>
      </c>
      <c r="DP5" s="16" t="s">
        <v>13</v>
      </c>
      <c r="DQ5" s="16" t="str">
        <f>IFERROR(_xlfn.SINGLE(_xlfn.XLOOKUP(DP1, TestMaster[Test Name], TestMaster[Test Status], "Status not found")), "")</f>
        <v>Pass</v>
      </c>
      <c r="DW5" s="16" t="s">
        <v>13</v>
      </c>
      <c r="DX5" s="16" t="str">
        <f>IFERROR(_xlfn.SINGLE(_xlfn.XLOOKUP(DW1, TestMaster[Test Name], TestMaster[Test Status], "Status not found")), "")</f>
        <v>Pass</v>
      </c>
      <c r="ED5" s="16" t="s">
        <v>13</v>
      </c>
      <c r="EE5" s="16" t="str">
        <f>IFERROR(_xlfn.SINGLE(_xlfn.XLOOKUP(ED1, TestMaster[Test Name], TestMaster[Test Status], "Status not found")), "")</f>
        <v>Skipped</v>
      </c>
      <c r="EK5" s="16" t="s">
        <v>13</v>
      </c>
      <c r="EL5" s="16" t="str">
        <f>IFERROR(_xlfn.SINGLE(_xlfn.XLOOKUP(EK1, TestMaster[Test Name], TestMaster[Test Status], "Status not found")), "")</f>
        <v>Pass</v>
      </c>
      <c r="ER5" s="16" t="s">
        <v>13</v>
      </c>
      <c r="ES5" s="16" t="str">
        <f>IFERROR(_xlfn.SINGLE(_xlfn.XLOOKUP(ER1, TestMaster[Test Name], TestMaster[Test Status], "Status not found")), "")</f>
        <v>Pass</v>
      </c>
      <c r="EY5" s="16" t="s">
        <v>13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57</v>
      </c>
      <c r="B6" s="30" t="s">
        <v>269</v>
      </c>
      <c r="C6" s="19"/>
      <c r="D6" s="19"/>
      <c r="E6" s="19"/>
      <c r="F6" s="19"/>
      <c r="H6" s="16" t="s">
        <v>57</v>
      </c>
      <c r="I6" s="30" t="s">
        <v>270</v>
      </c>
      <c r="J6" s="19"/>
      <c r="K6" s="19"/>
      <c r="L6" s="19"/>
      <c r="M6" s="19"/>
      <c r="O6" s="16" t="s">
        <v>57</v>
      </c>
      <c r="P6" s="30" t="s">
        <v>271</v>
      </c>
      <c r="Q6" s="19"/>
      <c r="R6" s="19"/>
      <c r="S6" s="19"/>
      <c r="T6" s="19"/>
      <c r="V6" s="16" t="s">
        <v>57</v>
      </c>
      <c r="W6" s="30" t="s">
        <v>221</v>
      </c>
      <c r="X6" s="19"/>
      <c r="Y6" s="19"/>
      <c r="Z6" s="19"/>
      <c r="AA6" s="19"/>
      <c r="AC6" s="16" t="s">
        <v>57</v>
      </c>
      <c r="AD6" s="30" t="s">
        <v>272</v>
      </c>
      <c r="AE6" s="19"/>
      <c r="AF6" s="19"/>
      <c r="AG6" s="19"/>
      <c r="AH6" s="19"/>
      <c r="AJ6" s="16" t="s">
        <v>57</v>
      </c>
      <c r="AK6" s="30" t="s">
        <v>273</v>
      </c>
      <c r="AL6" s="19"/>
      <c r="AM6" s="19"/>
      <c r="AN6" s="19"/>
      <c r="AO6" s="19"/>
      <c r="AQ6" s="16" t="s">
        <v>57</v>
      </c>
      <c r="AR6" s="30" t="s">
        <v>274</v>
      </c>
      <c r="AS6" s="19"/>
      <c r="AT6" s="19"/>
      <c r="AU6" s="19"/>
      <c r="AV6" s="19"/>
      <c r="AX6" s="16" t="s">
        <v>57</v>
      </c>
      <c r="AY6" s="30" t="s">
        <v>275</v>
      </c>
      <c r="AZ6" s="19"/>
      <c r="BA6" s="19"/>
      <c r="BB6" s="19"/>
      <c r="BC6" s="19"/>
      <c r="BE6" s="16" t="s">
        <v>57</v>
      </c>
      <c r="BF6" s="30" t="s">
        <v>276</v>
      </c>
      <c r="BG6" s="19"/>
      <c r="BH6" s="19"/>
      <c r="BI6" s="19"/>
      <c r="BJ6" s="19"/>
      <c r="BL6" s="16" t="s">
        <v>57</v>
      </c>
      <c r="BM6" s="30" t="s">
        <v>277</v>
      </c>
      <c r="BN6" s="19"/>
      <c r="BO6" s="19"/>
      <c r="BP6" s="19"/>
      <c r="BQ6" s="19"/>
      <c r="BS6" s="16" t="s">
        <v>57</v>
      </c>
      <c r="BT6" s="30" t="s">
        <v>221</v>
      </c>
      <c r="BU6" s="19"/>
      <c r="BV6" s="19"/>
      <c r="BW6" s="19"/>
      <c r="BX6" s="19"/>
      <c r="BZ6" s="16" t="s">
        <v>57</v>
      </c>
      <c r="CA6" s="30" t="s">
        <v>278</v>
      </c>
      <c r="CB6" s="19"/>
      <c r="CC6" s="19"/>
      <c r="CD6" s="19"/>
      <c r="CE6" s="19"/>
      <c r="CG6" s="16" t="s">
        <v>57</v>
      </c>
      <c r="CH6" s="30" t="s">
        <v>221</v>
      </c>
      <c r="CI6" s="19"/>
      <c r="CJ6" s="19"/>
      <c r="CK6" s="19"/>
      <c r="CL6" s="19"/>
      <c r="CN6" s="16" t="s">
        <v>57</v>
      </c>
      <c r="CO6" s="30" t="s">
        <v>279</v>
      </c>
      <c r="CP6" s="19"/>
      <c r="CQ6" s="19"/>
      <c r="CR6" s="19"/>
      <c r="CS6" s="19"/>
      <c r="CU6" s="16" t="s">
        <v>57</v>
      </c>
      <c r="CV6" s="30" t="s">
        <v>280</v>
      </c>
      <c r="CW6" s="19"/>
      <c r="CX6" s="19"/>
      <c r="CY6" s="19"/>
      <c r="CZ6" s="19"/>
      <c r="DB6" s="16" t="s">
        <v>57</v>
      </c>
      <c r="DC6" s="30" t="s">
        <v>281</v>
      </c>
      <c r="DD6" s="19"/>
      <c r="DE6" s="19"/>
      <c r="DF6" s="19"/>
      <c r="DG6" s="19"/>
      <c r="DI6" s="16" t="s">
        <v>57</v>
      </c>
      <c r="DJ6" s="30" t="s">
        <v>282</v>
      </c>
      <c r="DK6" s="19"/>
      <c r="DL6" s="19"/>
      <c r="DM6" s="19"/>
      <c r="DN6" s="19"/>
      <c r="DP6" s="16" t="s">
        <v>57</v>
      </c>
      <c r="DQ6" s="30" t="s">
        <v>221</v>
      </c>
      <c r="DR6" s="19"/>
      <c r="DS6" s="19"/>
      <c r="DT6" s="19"/>
      <c r="DU6" s="19"/>
      <c r="DW6" s="16" t="s">
        <v>57</v>
      </c>
      <c r="DX6" s="30" t="s">
        <v>283</v>
      </c>
      <c r="DY6" s="19"/>
      <c r="DZ6" s="19"/>
      <c r="EA6" s="19"/>
      <c r="EB6" s="19"/>
      <c r="ED6" s="16" t="s">
        <v>57</v>
      </c>
      <c r="EE6" s="30" t="s">
        <v>284</v>
      </c>
      <c r="EF6" s="19"/>
      <c r="EG6" s="19"/>
      <c r="EH6" s="19"/>
      <c r="EI6" s="19"/>
      <c r="EK6" s="16" t="s">
        <v>57</v>
      </c>
      <c r="EL6" s="30" t="s">
        <v>285</v>
      </c>
      <c r="EM6" s="19"/>
      <c r="EN6" s="19"/>
      <c r="EO6" s="19"/>
      <c r="EP6" s="19"/>
      <c r="ER6" s="16" t="s">
        <v>57</v>
      </c>
      <c r="ES6" s="30" t="s">
        <v>286</v>
      </c>
      <c r="ET6" s="19"/>
      <c r="EU6" s="19"/>
      <c r="EV6" s="19"/>
      <c r="EW6" s="19"/>
      <c r="EY6" s="16" t="s">
        <v>57</v>
      </c>
      <c r="EZ6" s="30" t="s">
        <v>287</v>
      </c>
      <c r="FA6" s="19"/>
      <c r="FB6" s="19"/>
      <c r="FC6" s="19"/>
      <c r="FD6" s="19"/>
    </row>
    <row r="7" spans="1:160" x14ac:dyDescent="0.25">
      <c r="A7" s="16" t="s">
        <v>15</v>
      </c>
      <c r="B7" s="30" t="s">
        <v>226</v>
      </c>
      <c r="C7" s="19"/>
      <c r="D7" s="19"/>
      <c r="E7" s="19"/>
      <c r="F7" s="19"/>
      <c r="H7" s="16" t="s">
        <v>15</v>
      </c>
      <c r="I7" s="30" t="s">
        <v>226</v>
      </c>
      <c r="J7" s="19"/>
      <c r="K7" s="19"/>
      <c r="L7" s="19"/>
      <c r="M7" s="19"/>
      <c r="O7" s="16" t="s">
        <v>15</v>
      </c>
      <c r="P7" s="30" t="s">
        <v>226</v>
      </c>
      <c r="Q7" s="19"/>
      <c r="R7" s="19"/>
      <c r="S7" s="19"/>
      <c r="T7" s="19"/>
      <c r="V7" s="16" t="s">
        <v>15</v>
      </c>
      <c r="W7" s="30" t="s">
        <v>226</v>
      </c>
      <c r="X7" s="19"/>
      <c r="Y7" s="19"/>
      <c r="Z7" s="19"/>
      <c r="AA7" s="19"/>
      <c r="AC7" s="16" t="s">
        <v>15</v>
      </c>
      <c r="AD7" s="30" t="s">
        <v>226</v>
      </c>
      <c r="AE7" s="19"/>
      <c r="AF7" s="19"/>
      <c r="AG7" s="19"/>
      <c r="AH7" s="19"/>
      <c r="AJ7" s="16" t="s">
        <v>15</v>
      </c>
      <c r="AK7" s="30" t="s">
        <v>226</v>
      </c>
      <c r="AL7" s="19"/>
      <c r="AM7" s="19"/>
      <c r="AN7" s="19"/>
      <c r="AO7" s="19"/>
      <c r="AQ7" s="16" t="s">
        <v>15</v>
      </c>
      <c r="AR7" s="30" t="s">
        <v>226</v>
      </c>
      <c r="AS7" s="19"/>
      <c r="AT7" s="19"/>
      <c r="AU7" s="19"/>
      <c r="AV7" s="19"/>
      <c r="AX7" s="16" t="s">
        <v>15</v>
      </c>
      <c r="AY7" s="30" t="s">
        <v>226</v>
      </c>
      <c r="AZ7" s="19"/>
      <c r="BA7" s="19"/>
      <c r="BB7" s="19"/>
      <c r="BC7" s="19"/>
      <c r="BE7" s="16" t="s">
        <v>15</v>
      </c>
      <c r="BF7" s="30" t="s">
        <v>226</v>
      </c>
      <c r="BG7" s="19"/>
      <c r="BH7" s="19"/>
      <c r="BI7" s="19"/>
      <c r="BJ7" s="19"/>
      <c r="BL7" s="16" t="s">
        <v>15</v>
      </c>
      <c r="BM7" s="30" t="s">
        <v>226</v>
      </c>
      <c r="BN7" s="19"/>
      <c r="BO7" s="19"/>
      <c r="BP7" s="19"/>
      <c r="BQ7" s="19"/>
      <c r="BS7" s="16" t="s">
        <v>15</v>
      </c>
      <c r="BT7" s="30" t="s">
        <v>226</v>
      </c>
      <c r="BU7" s="19"/>
      <c r="BV7" s="19"/>
      <c r="BW7" s="19"/>
      <c r="BX7" s="19"/>
      <c r="BZ7" s="16" t="s">
        <v>15</v>
      </c>
      <c r="CA7" s="30" t="s">
        <v>226</v>
      </c>
      <c r="CB7" s="19"/>
      <c r="CC7" s="19"/>
      <c r="CD7" s="19"/>
      <c r="CE7" s="19"/>
      <c r="CG7" s="16" t="s">
        <v>15</v>
      </c>
      <c r="CH7" s="30" t="s">
        <v>226</v>
      </c>
      <c r="CI7" s="19"/>
      <c r="CJ7" s="19"/>
      <c r="CK7" s="19"/>
      <c r="CL7" s="19"/>
      <c r="CN7" s="16" t="s">
        <v>15</v>
      </c>
      <c r="CO7" s="30" t="s">
        <v>226</v>
      </c>
      <c r="CP7" s="19"/>
      <c r="CQ7" s="19"/>
      <c r="CR7" s="19"/>
      <c r="CS7" s="19"/>
      <c r="CU7" s="16" t="s">
        <v>15</v>
      </c>
      <c r="CV7" s="30" t="s">
        <v>226</v>
      </c>
      <c r="CW7" s="19"/>
      <c r="CX7" s="19"/>
      <c r="CY7" s="19"/>
      <c r="CZ7" s="19"/>
      <c r="DB7" s="16" t="s">
        <v>15</v>
      </c>
      <c r="DC7" s="30" t="s">
        <v>226</v>
      </c>
      <c r="DD7" s="19"/>
      <c r="DE7" s="19"/>
      <c r="DF7" s="19"/>
      <c r="DG7" s="19"/>
      <c r="DI7" s="16" t="s">
        <v>15</v>
      </c>
      <c r="DJ7" s="30" t="s">
        <v>226</v>
      </c>
      <c r="DK7" s="19"/>
      <c r="DL7" s="19"/>
      <c r="DM7" s="19"/>
      <c r="DN7" s="19"/>
      <c r="DP7" s="16" t="s">
        <v>15</v>
      </c>
      <c r="DQ7" s="30" t="s">
        <v>226</v>
      </c>
      <c r="DR7" s="19"/>
      <c r="DS7" s="19"/>
      <c r="DT7" s="19"/>
      <c r="DU7" s="19"/>
      <c r="DW7" s="16" t="s">
        <v>15</v>
      </c>
      <c r="DX7" s="30" t="s">
        <v>226</v>
      </c>
      <c r="DY7" s="19"/>
      <c r="DZ7" s="19"/>
      <c r="EA7" s="19"/>
      <c r="EB7" s="19"/>
      <c r="ED7" s="16" t="s">
        <v>15</v>
      </c>
      <c r="EE7" s="30" t="s">
        <v>226</v>
      </c>
      <c r="EF7" s="19"/>
      <c r="EG7" s="19"/>
      <c r="EH7" s="19"/>
      <c r="EI7" s="19"/>
      <c r="EK7" s="16" t="s">
        <v>15</v>
      </c>
      <c r="EL7" s="30" t="s">
        <v>226</v>
      </c>
      <c r="EM7" s="19"/>
      <c r="EN7" s="19"/>
      <c r="EO7" s="19"/>
      <c r="EP7" s="19"/>
      <c r="ER7" s="16" t="s">
        <v>15</v>
      </c>
      <c r="ES7" s="30" t="s">
        <v>226</v>
      </c>
      <c r="ET7" s="19"/>
      <c r="EU7" s="19"/>
      <c r="EV7" s="19"/>
      <c r="EW7" s="19"/>
      <c r="EY7" s="16" t="s">
        <v>15</v>
      </c>
      <c r="EZ7" s="30" t="s">
        <v>226</v>
      </c>
      <c r="FA7" s="19"/>
      <c r="FB7" s="19"/>
      <c r="FC7" s="19"/>
      <c r="FD7" s="19"/>
    </row>
    <row r="8" spans="1:160" x14ac:dyDescent="0.25">
      <c r="A8" s="16" t="s">
        <v>16</v>
      </c>
      <c r="B8" s="16" t="s">
        <v>17</v>
      </c>
      <c r="C8" s="16" t="s">
        <v>18</v>
      </c>
      <c r="D8" s="16" t="s">
        <v>19</v>
      </c>
      <c r="E8" s="16" t="s">
        <v>20</v>
      </c>
      <c r="F8" s="16" t="s">
        <v>21</v>
      </c>
      <c r="H8" s="16" t="s">
        <v>16</v>
      </c>
      <c r="I8" s="16" t="s">
        <v>17</v>
      </c>
      <c r="J8" s="16" t="s">
        <v>18</v>
      </c>
      <c r="K8" s="16" t="s">
        <v>19</v>
      </c>
      <c r="L8" s="16" t="s">
        <v>20</v>
      </c>
      <c r="M8" s="16" t="s">
        <v>21</v>
      </c>
      <c r="O8" s="16" t="s">
        <v>16</v>
      </c>
      <c r="P8" s="16" t="s">
        <v>17</v>
      </c>
      <c r="Q8" s="16" t="s">
        <v>18</v>
      </c>
      <c r="R8" s="16" t="s">
        <v>19</v>
      </c>
      <c r="S8" s="16" t="s">
        <v>20</v>
      </c>
      <c r="T8" s="16" t="s">
        <v>21</v>
      </c>
      <c r="V8" s="16" t="s">
        <v>16</v>
      </c>
      <c r="W8" s="16" t="s">
        <v>17</v>
      </c>
      <c r="X8" s="16" t="s">
        <v>18</v>
      </c>
      <c r="Y8" s="16" t="s">
        <v>19</v>
      </c>
      <c r="Z8" s="16" t="s">
        <v>20</v>
      </c>
      <c r="AA8" s="16" t="s">
        <v>21</v>
      </c>
      <c r="AC8" s="16" t="s">
        <v>16</v>
      </c>
      <c r="AD8" s="16" t="s">
        <v>17</v>
      </c>
      <c r="AE8" s="16" t="s">
        <v>18</v>
      </c>
      <c r="AF8" s="16" t="s">
        <v>19</v>
      </c>
      <c r="AG8" s="16" t="s">
        <v>20</v>
      </c>
      <c r="AH8" s="16" t="s">
        <v>21</v>
      </c>
      <c r="AJ8" s="16" t="s">
        <v>16</v>
      </c>
      <c r="AK8" s="16" t="s">
        <v>17</v>
      </c>
      <c r="AL8" s="16" t="s">
        <v>18</v>
      </c>
      <c r="AM8" s="16" t="s">
        <v>19</v>
      </c>
      <c r="AN8" s="16" t="s">
        <v>20</v>
      </c>
      <c r="AO8" s="16" t="s">
        <v>21</v>
      </c>
      <c r="AQ8" s="16" t="s">
        <v>16</v>
      </c>
      <c r="AR8" s="16" t="s">
        <v>17</v>
      </c>
      <c r="AS8" s="16" t="s">
        <v>18</v>
      </c>
      <c r="AT8" s="16" t="s">
        <v>19</v>
      </c>
      <c r="AU8" s="16" t="s">
        <v>20</v>
      </c>
      <c r="AV8" s="16" t="s">
        <v>21</v>
      </c>
      <c r="AX8" s="16" t="s">
        <v>16</v>
      </c>
      <c r="AY8" s="16" t="s">
        <v>17</v>
      </c>
      <c r="AZ8" s="16" t="s">
        <v>18</v>
      </c>
      <c r="BA8" s="16" t="s">
        <v>19</v>
      </c>
      <c r="BB8" s="16" t="s">
        <v>20</v>
      </c>
      <c r="BC8" s="16" t="s">
        <v>21</v>
      </c>
      <c r="BE8" s="16" t="s">
        <v>16</v>
      </c>
      <c r="BF8" s="16" t="s">
        <v>17</v>
      </c>
      <c r="BG8" s="16" t="s">
        <v>18</v>
      </c>
      <c r="BH8" s="16" t="s">
        <v>19</v>
      </c>
      <c r="BI8" s="16" t="s">
        <v>20</v>
      </c>
      <c r="BJ8" s="16" t="s">
        <v>21</v>
      </c>
      <c r="BL8" s="16" t="s">
        <v>16</v>
      </c>
      <c r="BM8" s="16" t="s">
        <v>17</v>
      </c>
      <c r="BN8" s="16" t="s">
        <v>18</v>
      </c>
      <c r="BO8" s="16" t="s">
        <v>19</v>
      </c>
      <c r="BP8" s="16" t="s">
        <v>20</v>
      </c>
      <c r="BQ8" s="16" t="s">
        <v>21</v>
      </c>
      <c r="BS8" s="16" t="s">
        <v>16</v>
      </c>
      <c r="BT8" s="16" t="s">
        <v>17</v>
      </c>
      <c r="BU8" s="16" t="s">
        <v>18</v>
      </c>
      <c r="BV8" s="16" t="s">
        <v>19</v>
      </c>
      <c r="BW8" s="16" t="s">
        <v>20</v>
      </c>
      <c r="BX8" s="16" t="s">
        <v>21</v>
      </c>
      <c r="BZ8" s="16" t="s">
        <v>16</v>
      </c>
      <c r="CA8" s="16" t="s">
        <v>17</v>
      </c>
      <c r="CB8" s="16" t="s">
        <v>18</v>
      </c>
      <c r="CC8" s="16" t="s">
        <v>19</v>
      </c>
      <c r="CD8" s="16" t="s">
        <v>20</v>
      </c>
      <c r="CE8" s="16" t="s">
        <v>21</v>
      </c>
      <c r="CG8" s="16" t="s">
        <v>16</v>
      </c>
      <c r="CH8" s="16" t="s">
        <v>17</v>
      </c>
      <c r="CI8" s="16" t="s">
        <v>18</v>
      </c>
      <c r="CJ8" s="16" t="s">
        <v>19</v>
      </c>
      <c r="CK8" s="16" t="s">
        <v>20</v>
      </c>
      <c r="CL8" s="16" t="s">
        <v>21</v>
      </c>
      <c r="CN8" s="16" t="s">
        <v>16</v>
      </c>
      <c r="CO8" s="16" t="s">
        <v>17</v>
      </c>
      <c r="CP8" s="16" t="s">
        <v>18</v>
      </c>
      <c r="CQ8" s="16" t="s">
        <v>19</v>
      </c>
      <c r="CR8" s="16" t="s">
        <v>20</v>
      </c>
      <c r="CS8" s="16" t="s">
        <v>21</v>
      </c>
      <c r="CU8" s="16" t="s">
        <v>16</v>
      </c>
      <c r="CV8" s="16" t="s">
        <v>17</v>
      </c>
      <c r="CW8" s="16" t="s">
        <v>18</v>
      </c>
      <c r="CX8" s="16" t="s">
        <v>19</v>
      </c>
      <c r="CY8" s="16" t="s">
        <v>20</v>
      </c>
      <c r="CZ8" s="16" t="s">
        <v>21</v>
      </c>
      <c r="DB8" s="16" t="s">
        <v>16</v>
      </c>
      <c r="DC8" s="16" t="s">
        <v>17</v>
      </c>
      <c r="DD8" s="16" t="s">
        <v>18</v>
      </c>
      <c r="DE8" s="16" t="s">
        <v>19</v>
      </c>
      <c r="DF8" s="16" t="s">
        <v>20</v>
      </c>
      <c r="DG8" s="16" t="s">
        <v>21</v>
      </c>
      <c r="DI8" s="16" t="s">
        <v>16</v>
      </c>
      <c r="DJ8" s="16" t="s">
        <v>17</v>
      </c>
      <c r="DK8" s="16" t="s">
        <v>18</v>
      </c>
      <c r="DL8" s="16" t="s">
        <v>19</v>
      </c>
      <c r="DM8" s="16" t="s">
        <v>20</v>
      </c>
      <c r="DN8" s="16" t="s">
        <v>21</v>
      </c>
      <c r="DP8" s="16" t="s">
        <v>16</v>
      </c>
      <c r="DQ8" s="16" t="s">
        <v>17</v>
      </c>
      <c r="DR8" s="16" t="s">
        <v>18</v>
      </c>
      <c r="DS8" s="16" t="s">
        <v>19</v>
      </c>
      <c r="DT8" s="16" t="s">
        <v>20</v>
      </c>
      <c r="DU8" s="16" t="s">
        <v>21</v>
      </c>
      <c r="DW8" s="16" t="s">
        <v>16</v>
      </c>
      <c r="DX8" s="16" t="s">
        <v>17</v>
      </c>
      <c r="DY8" s="16" t="s">
        <v>18</v>
      </c>
      <c r="DZ8" s="16" t="s">
        <v>19</v>
      </c>
      <c r="EA8" s="16" t="s">
        <v>20</v>
      </c>
      <c r="EB8" s="16" t="s">
        <v>21</v>
      </c>
      <c r="ED8" s="16" t="s">
        <v>16</v>
      </c>
      <c r="EE8" s="16" t="s">
        <v>17</v>
      </c>
      <c r="EF8" s="16" t="s">
        <v>18</v>
      </c>
      <c r="EG8" s="16" t="s">
        <v>19</v>
      </c>
      <c r="EH8" s="16" t="s">
        <v>20</v>
      </c>
      <c r="EI8" s="16" t="s">
        <v>21</v>
      </c>
      <c r="EK8" s="16" t="s">
        <v>16</v>
      </c>
      <c r="EL8" s="16" t="s">
        <v>17</v>
      </c>
      <c r="EM8" s="16" t="s">
        <v>18</v>
      </c>
      <c r="EN8" s="16" t="s">
        <v>19</v>
      </c>
      <c r="EO8" s="16" t="s">
        <v>20</v>
      </c>
      <c r="EP8" s="16" t="s">
        <v>21</v>
      </c>
      <c r="ER8" s="16" t="s">
        <v>16</v>
      </c>
      <c r="ES8" s="16" t="s">
        <v>17</v>
      </c>
      <c r="ET8" s="16" t="s">
        <v>18</v>
      </c>
      <c r="EU8" s="16" t="s">
        <v>19</v>
      </c>
      <c r="EV8" s="16" t="s">
        <v>20</v>
      </c>
      <c r="EW8" s="16" t="s">
        <v>21</v>
      </c>
      <c r="EY8" s="16" t="s">
        <v>16</v>
      </c>
      <c r="EZ8" s="16" t="s">
        <v>17</v>
      </c>
      <c r="FA8" s="16" t="s">
        <v>18</v>
      </c>
      <c r="FB8" s="16" t="s">
        <v>19</v>
      </c>
      <c r="FC8" s="16" t="s">
        <v>20</v>
      </c>
      <c r="FD8" s="16" t="s">
        <v>21</v>
      </c>
    </row>
    <row r="9" spans="1:160" ht="29.1" customHeight="1" x14ac:dyDescent="0.25">
      <c r="A9" s="16" t="s">
        <v>227</v>
      </c>
      <c r="B9" s="16" t="s">
        <v>228</v>
      </c>
      <c r="C9" s="16" t="s">
        <v>229</v>
      </c>
      <c r="D9" s="16" t="s">
        <v>230</v>
      </c>
      <c r="E9" s="16"/>
      <c r="F9" s="16"/>
      <c r="H9" s="16" t="s">
        <v>227</v>
      </c>
      <c r="I9" s="16" t="s">
        <v>228</v>
      </c>
      <c r="J9" s="16" t="s">
        <v>229</v>
      </c>
      <c r="K9" s="16" t="s">
        <v>230</v>
      </c>
      <c r="L9" s="16"/>
      <c r="M9" s="16"/>
      <c r="O9" s="16" t="s">
        <v>227</v>
      </c>
      <c r="P9" s="16" t="s">
        <v>228</v>
      </c>
      <c r="Q9" s="16" t="s">
        <v>229</v>
      </c>
      <c r="R9" s="16" t="s">
        <v>230</v>
      </c>
      <c r="S9" s="16"/>
      <c r="T9" s="16"/>
      <c r="V9" s="16" t="s">
        <v>227</v>
      </c>
      <c r="W9" s="16" t="s">
        <v>228</v>
      </c>
      <c r="X9" s="16" t="s">
        <v>229</v>
      </c>
      <c r="Y9" s="16" t="s">
        <v>230</v>
      </c>
      <c r="Z9" s="16"/>
      <c r="AA9" s="16"/>
      <c r="AC9" s="16" t="s">
        <v>227</v>
      </c>
      <c r="AD9" s="16" t="s">
        <v>228</v>
      </c>
      <c r="AE9" s="16" t="s">
        <v>229</v>
      </c>
      <c r="AF9" s="16" t="s">
        <v>230</v>
      </c>
      <c r="AG9" s="16"/>
      <c r="AH9" s="16"/>
      <c r="AJ9" s="16" t="s">
        <v>227</v>
      </c>
      <c r="AK9" s="16" t="s">
        <v>228</v>
      </c>
      <c r="AL9" s="16" t="s">
        <v>229</v>
      </c>
      <c r="AM9" s="16" t="s">
        <v>230</v>
      </c>
      <c r="AN9" s="16"/>
      <c r="AO9" s="16"/>
      <c r="AQ9" s="16" t="s">
        <v>227</v>
      </c>
      <c r="AR9" s="16" t="s">
        <v>228</v>
      </c>
      <c r="AS9" s="16" t="s">
        <v>229</v>
      </c>
      <c r="AT9" s="16" t="s">
        <v>230</v>
      </c>
      <c r="AU9" s="16"/>
      <c r="AV9" s="16"/>
      <c r="AX9" s="16" t="s">
        <v>227</v>
      </c>
      <c r="AY9" s="16" t="s">
        <v>228</v>
      </c>
      <c r="AZ9" s="16" t="s">
        <v>229</v>
      </c>
      <c r="BA9" s="16" t="s">
        <v>230</v>
      </c>
      <c r="BB9" s="16"/>
      <c r="BC9" s="16"/>
      <c r="BE9" s="16" t="s">
        <v>227</v>
      </c>
      <c r="BF9" s="16" t="s">
        <v>228</v>
      </c>
      <c r="BG9" s="16" t="s">
        <v>229</v>
      </c>
      <c r="BH9" s="16" t="s">
        <v>230</v>
      </c>
      <c r="BI9" s="16"/>
      <c r="BJ9" s="16"/>
      <c r="BL9" s="16" t="s">
        <v>227</v>
      </c>
      <c r="BM9" s="16" t="s">
        <v>228</v>
      </c>
      <c r="BN9" s="16" t="s">
        <v>229</v>
      </c>
      <c r="BO9" s="16" t="s">
        <v>230</v>
      </c>
      <c r="BP9" s="16"/>
      <c r="BQ9" s="16"/>
      <c r="BS9" s="16" t="s">
        <v>227</v>
      </c>
      <c r="BT9" s="16" t="s">
        <v>228</v>
      </c>
      <c r="BU9" s="16" t="s">
        <v>229</v>
      </c>
      <c r="BV9" s="16" t="s">
        <v>230</v>
      </c>
      <c r="BW9" s="16"/>
      <c r="BX9" s="16"/>
      <c r="BZ9" s="16" t="s">
        <v>227</v>
      </c>
      <c r="CA9" s="16" t="s">
        <v>228</v>
      </c>
      <c r="CB9" s="16" t="s">
        <v>229</v>
      </c>
      <c r="CC9" s="16" t="s">
        <v>230</v>
      </c>
      <c r="CD9" s="16"/>
      <c r="CE9" s="16"/>
      <c r="CG9" s="16" t="s">
        <v>227</v>
      </c>
      <c r="CH9" s="16" t="s">
        <v>228</v>
      </c>
      <c r="CI9" s="16" t="s">
        <v>229</v>
      </c>
      <c r="CJ9" s="16" t="s">
        <v>230</v>
      </c>
      <c r="CK9" s="16"/>
      <c r="CL9" s="16"/>
      <c r="CN9" s="16" t="s">
        <v>227</v>
      </c>
      <c r="CO9" s="16" t="s">
        <v>228</v>
      </c>
      <c r="CP9" s="16" t="s">
        <v>229</v>
      </c>
      <c r="CQ9" s="16" t="s">
        <v>230</v>
      </c>
      <c r="CR9" s="16"/>
      <c r="CS9" s="16"/>
      <c r="CU9" s="16" t="s">
        <v>227</v>
      </c>
      <c r="CV9" s="16" t="s">
        <v>228</v>
      </c>
      <c r="CW9" s="16" t="s">
        <v>229</v>
      </c>
      <c r="CX9" s="16" t="s">
        <v>230</v>
      </c>
      <c r="CY9" s="16"/>
      <c r="CZ9" s="16"/>
      <c r="DB9" s="16" t="s">
        <v>227</v>
      </c>
      <c r="DC9" s="16" t="s">
        <v>228</v>
      </c>
      <c r="DD9" s="16" t="s">
        <v>229</v>
      </c>
      <c r="DE9" s="16" t="s">
        <v>230</v>
      </c>
      <c r="DF9" s="16"/>
      <c r="DG9" s="16"/>
      <c r="DI9" s="16" t="s">
        <v>227</v>
      </c>
      <c r="DJ9" s="16" t="s">
        <v>228</v>
      </c>
      <c r="DK9" s="16" t="s">
        <v>229</v>
      </c>
      <c r="DL9" s="16" t="s">
        <v>230</v>
      </c>
      <c r="DM9" s="16"/>
      <c r="DN9" s="16"/>
      <c r="DP9" s="16" t="s">
        <v>227</v>
      </c>
      <c r="DQ9" s="16" t="s">
        <v>228</v>
      </c>
      <c r="DR9" s="16" t="s">
        <v>229</v>
      </c>
      <c r="DS9" s="16" t="s">
        <v>230</v>
      </c>
      <c r="DT9" s="16"/>
      <c r="DU9" s="16"/>
      <c r="DW9" s="16" t="s">
        <v>227</v>
      </c>
      <c r="DX9" s="16" t="s">
        <v>228</v>
      </c>
      <c r="DY9" s="16" t="s">
        <v>229</v>
      </c>
      <c r="DZ9" s="16" t="s">
        <v>230</v>
      </c>
      <c r="EA9" s="16"/>
      <c r="EB9" s="16"/>
      <c r="ED9" s="16" t="s">
        <v>227</v>
      </c>
      <c r="EE9" s="16" t="s">
        <v>228</v>
      </c>
      <c r="EF9" s="16" t="s">
        <v>229</v>
      </c>
      <c r="EG9" s="16" t="s">
        <v>230</v>
      </c>
      <c r="EH9" s="16"/>
      <c r="EI9" s="16"/>
      <c r="EK9" s="16" t="s">
        <v>227</v>
      </c>
      <c r="EL9" s="16" t="s">
        <v>228</v>
      </c>
      <c r="EM9" s="16" t="s">
        <v>229</v>
      </c>
      <c r="EN9" s="16" t="s">
        <v>230</v>
      </c>
      <c r="EO9" s="16"/>
      <c r="EP9" s="16"/>
      <c r="ER9" s="16" t="s">
        <v>227</v>
      </c>
      <c r="ES9" s="16" t="s">
        <v>228</v>
      </c>
      <c r="ET9" s="16" t="s">
        <v>229</v>
      </c>
      <c r="EU9" s="16" t="s">
        <v>230</v>
      </c>
      <c r="EV9" s="16"/>
      <c r="EW9" s="16"/>
      <c r="EY9" s="16" t="s">
        <v>227</v>
      </c>
      <c r="EZ9" s="16" t="s">
        <v>228</v>
      </c>
      <c r="FA9" s="16" t="s">
        <v>229</v>
      </c>
      <c r="FB9" s="16" t="s">
        <v>230</v>
      </c>
      <c r="FC9" s="16"/>
      <c r="FD9" s="16"/>
    </row>
    <row r="10" spans="1:160" ht="43.5" customHeight="1" x14ac:dyDescent="0.25">
      <c r="A10" s="16" t="s">
        <v>231</v>
      </c>
      <c r="B10" s="16" t="s">
        <v>288</v>
      </c>
      <c r="C10" s="16"/>
      <c r="D10" s="16" t="s">
        <v>233</v>
      </c>
      <c r="E10" s="16"/>
      <c r="F10" s="16"/>
      <c r="H10" s="16" t="s">
        <v>231</v>
      </c>
      <c r="I10" s="16" t="s">
        <v>289</v>
      </c>
      <c r="J10" s="16"/>
      <c r="K10" s="16" t="s">
        <v>233</v>
      </c>
      <c r="L10" s="16"/>
      <c r="M10" s="16"/>
      <c r="O10" s="16" t="s">
        <v>231</v>
      </c>
      <c r="P10" s="16" t="s">
        <v>290</v>
      </c>
      <c r="Q10" s="16"/>
      <c r="R10" s="16" t="s">
        <v>233</v>
      </c>
      <c r="S10" s="16"/>
      <c r="T10" s="16"/>
      <c r="V10" s="16" t="s">
        <v>231</v>
      </c>
      <c r="W10" s="16" t="s">
        <v>242</v>
      </c>
      <c r="X10" s="16"/>
      <c r="Y10" s="16" t="s">
        <v>233</v>
      </c>
      <c r="Z10" s="16"/>
      <c r="AA10" s="16"/>
      <c r="AC10" s="16" t="s">
        <v>231</v>
      </c>
      <c r="AD10" s="16" t="s">
        <v>291</v>
      </c>
      <c r="AE10" s="16"/>
      <c r="AF10" s="16" t="s">
        <v>233</v>
      </c>
      <c r="AG10" s="16"/>
      <c r="AH10" s="16"/>
      <c r="AJ10" s="16" t="s">
        <v>231</v>
      </c>
      <c r="AK10" s="16" t="s">
        <v>291</v>
      </c>
      <c r="AL10" s="16"/>
      <c r="AM10" s="16" t="s">
        <v>233</v>
      </c>
      <c r="AN10" s="16"/>
      <c r="AO10" s="16"/>
      <c r="AQ10" s="16" t="s">
        <v>231</v>
      </c>
      <c r="AR10" s="16" t="s">
        <v>291</v>
      </c>
      <c r="AS10" s="16"/>
      <c r="AT10" s="16" t="s">
        <v>233</v>
      </c>
      <c r="AU10" s="16"/>
      <c r="AV10" s="16"/>
      <c r="AX10" s="16" t="s">
        <v>231</v>
      </c>
      <c r="AY10" s="16" t="s">
        <v>291</v>
      </c>
      <c r="AZ10" s="16"/>
      <c r="BA10" s="16" t="s">
        <v>233</v>
      </c>
      <c r="BB10" s="16"/>
      <c r="BC10" s="16"/>
      <c r="BE10" s="16" t="s">
        <v>231</v>
      </c>
      <c r="BF10" s="16" t="s">
        <v>291</v>
      </c>
      <c r="BG10" s="16"/>
      <c r="BH10" s="16" t="s">
        <v>233</v>
      </c>
      <c r="BI10" s="16"/>
      <c r="BJ10" s="16"/>
      <c r="BL10" s="16" t="s">
        <v>231</v>
      </c>
      <c r="BM10" s="16" t="s">
        <v>292</v>
      </c>
      <c r="BN10" s="16"/>
      <c r="BO10" s="16" t="s">
        <v>233</v>
      </c>
      <c r="BP10" s="16"/>
      <c r="BQ10" s="16"/>
      <c r="BS10" s="16" t="s">
        <v>231</v>
      </c>
      <c r="BT10" s="16" t="s">
        <v>242</v>
      </c>
      <c r="BU10" s="16"/>
      <c r="BV10" s="16" t="s">
        <v>233</v>
      </c>
      <c r="BW10" s="16"/>
      <c r="BX10" s="16"/>
      <c r="BZ10" s="16" t="s">
        <v>231</v>
      </c>
      <c r="CA10" s="16" t="s">
        <v>292</v>
      </c>
      <c r="CB10" s="16"/>
      <c r="CC10" s="16" t="s">
        <v>233</v>
      </c>
      <c r="CD10" s="16"/>
      <c r="CE10" s="16"/>
      <c r="CG10" s="16" t="s">
        <v>231</v>
      </c>
      <c r="CH10" s="16" t="s">
        <v>242</v>
      </c>
      <c r="CI10" s="16"/>
      <c r="CJ10" s="16" t="s">
        <v>233</v>
      </c>
      <c r="CK10" s="16"/>
      <c r="CL10" s="16"/>
      <c r="CN10" s="16" t="s">
        <v>231</v>
      </c>
      <c r="CO10" s="16" t="s">
        <v>293</v>
      </c>
      <c r="CP10" s="16"/>
      <c r="CQ10" s="16" t="s">
        <v>233</v>
      </c>
      <c r="CR10" s="16"/>
      <c r="CS10" s="16"/>
      <c r="CU10" s="16" t="s">
        <v>231</v>
      </c>
      <c r="CV10" s="16" t="s">
        <v>293</v>
      </c>
      <c r="CW10" s="16"/>
      <c r="CX10" s="16" t="s">
        <v>233</v>
      </c>
      <c r="CY10" s="16"/>
      <c r="CZ10" s="16"/>
      <c r="DB10" s="16" t="s">
        <v>231</v>
      </c>
      <c r="DC10" s="16" t="s">
        <v>294</v>
      </c>
      <c r="DD10" s="16"/>
      <c r="DE10" s="16" t="s">
        <v>233</v>
      </c>
      <c r="DF10" s="16"/>
      <c r="DG10" s="16"/>
      <c r="DI10" s="16" t="s">
        <v>231</v>
      </c>
      <c r="DJ10" s="16" t="s">
        <v>295</v>
      </c>
      <c r="DK10" s="16"/>
      <c r="DL10" s="16" t="s">
        <v>233</v>
      </c>
      <c r="DM10" s="16"/>
      <c r="DN10" s="16"/>
      <c r="DP10" s="16" t="s">
        <v>231</v>
      </c>
      <c r="DQ10" s="16" t="s">
        <v>242</v>
      </c>
      <c r="DR10" s="16"/>
      <c r="DS10" s="16" t="s">
        <v>233</v>
      </c>
      <c r="DT10" s="16"/>
      <c r="DU10" s="16"/>
      <c r="DW10" s="16" t="s">
        <v>231</v>
      </c>
      <c r="DX10" s="16" t="s">
        <v>295</v>
      </c>
      <c r="DY10" s="16"/>
      <c r="DZ10" s="16" t="s">
        <v>233</v>
      </c>
      <c r="EA10" s="16"/>
      <c r="EB10" s="16"/>
      <c r="ED10" s="16" t="s">
        <v>231</v>
      </c>
      <c r="EE10" s="16" t="s">
        <v>295</v>
      </c>
      <c r="EF10" s="16"/>
      <c r="EG10" s="16" t="s">
        <v>233</v>
      </c>
      <c r="EH10" s="16"/>
      <c r="EI10" s="16"/>
      <c r="EK10" s="16" t="s">
        <v>231</v>
      </c>
      <c r="EL10" s="16" t="s">
        <v>296</v>
      </c>
      <c r="EM10" s="16"/>
      <c r="EN10" s="16" t="s">
        <v>233</v>
      </c>
      <c r="EO10" s="16"/>
      <c r="EP10" s="16"/>
      <c r="ER10" s="16" t="s">
        <v>231</v>
      </c>
      <c r="ES10" s="16" t="s">
        <v>297</v>
      </c>
      <c r="ET10" s="16"/>
      <c r="EU10" s="16" t="s">
        <v>233</v>
      </c>
      <c r="EV10" s="16"/>
      <c r="EW10" s="16"/>
      <c r="EY10" s="16" t="s">
        <v>231</v>
      </c>
      <c r="EZ10" s="16" t="s">
        <v>298</v>
      </c>
      <c r="FA10" s="16"/>
      <c r="FB10" s="16" t="s">
        <v>233</v>
      </c>
      <c r="FC10" s="16"/>
      <c r="FD10" s="16"/>
    </row>
    <row r="11" spans="1:160" ht="43.5" customHeight="1" x14ac:dyDescent="0.25">
      <c r="A11" s="16" t="s">
        <v>246</v>
      </c>
      <c r="B11" s="16" t="s">
        <v>247</v>
      </c>
      <c r="C11" s="16"/>
      <c r="D11" s="16" t="s">
        <v>248</v>
      </c>
      <c r="E11" s="16"/>
      <c r="F11" s="16"/>
      <c r="H11" s="16" t="s">
        <v>246</v>
      </c>
      <c r="I11" s="16" t="s">
        <v>247</v>
      </c>
      <c r="J11" s="16"/>
      <c r="K11" s="16" t="s">
        <v>248</v>
      </c>
      <c r="L11" s="16"/>
      <c r="M11" s="16"/>
      <c r="O11" s="16" t="s">
        <v>246</v>
      </c>
      <c r="P11" s="16" t="s">
        <v>247</v>
      </c>
      <c r="Q11" s="16"/>
      <c r="R11" s="16" t="s">
        <v>248</v>
      </c>
      <c r="S11" s="16"/>
      <c r="T11" s="16"/>
      <c r="V11" s="16" t="s">
        <v>246</v>
      </c>
      <c r="W11" s="16" t="s">
        <v>247</v>
      </c>
      <c r="X11" s="16"/>
      <c r="Y11" s="16" t="s">
        <v>248</v>
      </c>
      <c r="Z11" s="16"/>
      <c r="AA11" s="16"/>
      <c r="AC11" s="16" t="s">
        <v>246</v>
      </c>
      <c r="AD11" s="16" t="s">
        <v>247</v>
      </c>
      <c r="AE11" s="16"/>
      <c r="AF11" s="16" t="s">
        <v>249</v>
      </c>
      <c r="AG11" s="16"/>
      <c r="AH11" s="16"/>
      <c r="AJ11" s="16" t="s">
        <v>246</v>
      </c>
      <c r="AK11" s="16" t="s">
        <v>247</v>
      </c>
      <c r="AL11" s="16"/>
      <c r="AM11" s="16" t="s">
        <v>248</v>
      </c>
      <c r="AN11" s="16"/>
      <c r="AO11" s="16"/>
      <c r="AQ11" s="16" t="s">
        <v>246</v>
      </c>
      <c r="AR11" s="16" t="s">
        <v>247</v>
      </c>
      <c r="AS11" s="16"/>
      <c r="AT11" s="16" t="s">
        <v>248</v>
      </c>
      <c r="AU11" s="16"/>
      <c r="AV11" s="16"/>
      <c r="AX11" s="16" t="s">
        <v>246</v>
      </c>
      <c r="AY11" s="16" t="s">
        <v>247</v>
      </c>
      <c r="AZ11" s="16"/>
      <c r="BA11" s="16" t="s">
        <v>248</v>
      </c>
      <c r="BB11" s="16"/>
      <c r="BC11" s="16"/>
      <c r="BE11" s="16" t="s">
        <v>246</v>
      </c>
      <c r="BF11" s="16" t="s">
        <v>247</v>
      </c>
      <c r="BG11" s="16"/>
      <c r="BH11" s="16" t="s">
        <v>248</v>
      </c>
      <c r="BI11" s="16"/>
      <c r="BJ11" s="16"/>
      <c r="BL11" s="16" t="s">
        <v>246</v>
      </c>
      <c r="BM11" s="16" t="s">
        <v>247</v>
      </c>
      <c r="BN11" s="16"/>
      <c r="BO11" s="16" t="s">
        <v>248</v>
      </c>
      <c r="BP11" s="16"/>
      <c r="BQ11" s="16"/>
      <c r="BS11" s="16" t="s">
        <v>246</v>
      </c>
      <c r="BT11" s="16" t="s">
        <v>247</v>
      </c>
      <c r="BU11" s="16"/>
      <c r="BV11" s="16" t="s">
        <v>248</v>
      </c>
      <c r="BW11" s="16"/>
      <c r="BX11" s="16"/>
      <c r="BZ11" s="16" t="s">
        <v>246</v>
      </c>
      <c r="CA11" s="16" t="s">
        <v>247</v>
      </c>
      <c r="CB11" s="16"/>
      <c r="CC11" s="16" t="s">
        <v>249</v>
      </c>
      <c r="CD11" s="16"/>
      <c r="CE11" s="16"/>
      <c r="CG11" s="16" t="s">
        <v>246</v>
      </c>
      <c r="CH11" s="16" t="s">
        <v>247</v>
      </c>
      <c r="CI11" s="16"/>
      <c r="CJ11" s="16" t="s">
        <v>248</v>
      </c>
      <c r="CK11" s="16"/>
      <c r="CL11" s="16"/>
      <c r="CN11" s="16" t="s">
        <v>246</v>
      </c>
      <c r="CO11" s="16" t="s">
        <v>247</v>
      </c>
      <c r="CP11" s="16"/>
      <c r="CQ11" s="16" t="s">
        <v>299</v>
      </c>
      <c r="CR11" s="16"/>
      <c r="CS11" s="16"/>
      <c r="CU11" s="16" t="s">
        <v>246</v>
      </c>
      <c r="CV11" s="16" t="s">
        <v>247</v>
      </c>
      <c r="CW11" s="16"/>
      <c r="CX11" s="16" t="s">
        <v>248</v>
      </c>
      <c r="CY11" s="16"/>
      <c r="CZ11" s="16"/>
      <c r="DB11" s="16" t="s">
        <v>246</v>
      </c>
      <c r="DC11" s="16" t="s">
        <v>247</v>
      </c>
      <c r="DD11" s="16"/>
      <c r="DE11" s="16" t="s">
        <v>248</v>
      </c>
      <c r="DF11" s="16"/>
      <c r="DG11" s="16"/>
      <c r="DI11" s="16" t="s">
        <v>246</v>
      </c>
      <c r="DJ11" s="16" t="s">
        <v>247</v>
      </c>
      <c r="DK11" s="16"/>
      <c r="DL11" s="16" t="s">
        <v>248</v>
      </c>
      <c r="DM11" s="16"/>
      <c r="DN11" s="16"/>
      <c r="DP11" s="16" t="s">
        <v>246</v>
      </c>
      <c r="DQ11" s="16" t="s">
        <v>247</v>
      </c>
      <c r="DR11" s="16"/>
      <c r="DS11" s="16" t="s">
        <v>248</v>
      </c>
      <c r="DT11" s="16"/>
      <c r="DU11" s="16"/>
      <c r="DW11" s="16" t="s">
        <v>246</v>
      </c>
      <c r="DX11" s="16" t="s">
        <v>247</v>
      </c>
      <c r="DY11" s="16"/>
      <c r="DZ11" s="16" t="s">
        <v>300</v>
      </c>
      <c r="EA11" s="16"/>
      <c r="EB11" s="16"/>
      <c r="ED11" s="16" t="s">
        <v>246</v>
      </c>
      <c r="EE11" s="16" t="s">
        <v>247</v>
      </c>
      <c r="EF11" s="16"/>
      <c r="EG11" s="16" t="s">
        <v>248</v>
      </c>
      <c r="EH11" s="16"/>
      <c r="EI11" s="16"/>
      <c r="EK11" s="16" t="s">
        <v>246</v>
      </c>
      <c r="EL11" s="16" t="s">
        <v>247</v>
      </c>
      <c r="EM11" s="16"/>
      <c r="EN11" s="16" t="s">
        <v>248</v>
      </c>
      <c r="EO11" s="16"/>
      <c r="EP11" s="16"/>
      <c r="ER11" s="16" t="s">
        <v>246</v>
      </c>
      <c r="ES11" s="16" t="s">
        <v>247</v>
      </c>
      <c r="ET11" s="16"/>
      <c r="EU11" s="16" t="s">
        <v>248</v>
      </c>
      <c r="EV11" s="16"/>
      <c r="EW11" s="16"/>
      <c r="EY11" s="16" t="s">
        <v>246</v>
      </c>
      <c r="EZ11" s="16" t="s">
        <v>247</v>
      </c>
      <c r="FA11" s="16"/>
      <c r="FB11" s="16" t="s">
        <v>248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6:EP6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K1:EP1"/>
    <mergeCell ref="W7:AA7"/>
    <mergeCell ref="P7:T7"/>
    <mergeCell ref="CA7:CE7"/>
    <mergeCell ref="EE7:EI7"/>
    <mergeCell ref="CO7:CS7"/>
    <mergeCell ref="DX7:EB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2026-02-05T18:16:58Z</dcterms:modified>
</cp:coreProperties>
</file>